
<file path=[Content_Types].xml><?xml version="1.0" encoding="utf-8"?>
<Types xmlns="http://schemas.openxmlformats.org/package/2006/content-types">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 sheetId="1" r:id="rId5"/>
    <sheet state="visible" name="Easier Scenarios" sheetId="2" r:id="rId6"/>
    <sheet state="visible" name="Medium Scenarios" sheetId="3" r:id="rId7"/>
    <sheet state="visible" name="Hard Scenarios" sheetId="4" r:id="rId8"/>
    <sheet state="hidden" name="brank" sheetId="5" r:id="rId9"/>
    <sheet state="hidden" name="irank" sheetId="6" r:id="rId10"/>
    <sheet state="hidden" name="arank" sheetId="7" r:id="rId11"/>
    <sheet state="visible" name="Changelog"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https://youtu.be/g63I6tt-dmo</t>
      </text>
    </comment>
    <comment authorId="0" ref="C13">
      <text>
        <t xml:space="preserve">https://www.youtube.com/watch?v=nnOElr-rDfg
This scenario ends when you kill all of the bots, it doesn't take as long as the timer would suggest. Anywhere from 1-3 minutes depending on skill level</t>
      </text>
    </comment>
    <comment authorId="0" ref="C12">
      <text>
        <t xml:space="preserve">https://www.youtube.com/watch?v=4Qio0EEwoWo</t>
      </text>
    </comment>
    <comment authorId="0" ref="C9">
      <text>
        <t xml:space="preserve">https://youtu.be/T9AuJsm0ZRk?si=kQPWTJ1RdAO_MmiD
This scenario is very effective at improving on your initial reactions to direction changes. As the target goes from strafing left to right there is a long period of deceleration and acceleration, meaning that if you read it's movements well it's very possible to track it through it's direction changes. This is the optimal approach to this scenario and means that things that would prevent this such as excess tension, inactive reading or sharp corrections generally are punished pretty heavily here. 
The best way to ensure that your  corrections are stable and controlled for this scenario type is to lead the movements with your fingertips and then follow through with your wrist. </t>
      </text>
    </comment>
    <comment authorId="0" ref="C6">
      <text>
        <t xml:space="preserve">https://youtu.be/s5bWz5Drl50</t>
      </text>
    </comment>
    <comment authorId="0" ref="C4">
      <text>
        <t xml:space="preserve">https://youtu.be/RfEkY3N2JW0
This scenarios difficulty comes primarily from it's unorthodox movement patterns and its tendency to make large sweeping movements at varying speeds. 
I found it helpful to utilise my arm more than I initially expected to, I try to make my initial small correction with my wrist or fingertips then very quickly swap over to tracking with my arm to avoid reaching the end of your wrists range of motion. Reading the bots acceleration is also very important here and having smooth and stable movements will make that easier.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https://www.youtube.com/watch?v=udBJYl6hqD8</t>
      </text>
    </comment>
    <comment authorId="0" ref="C25">
      <text>
        <t xml:space="preserve">https://www.youtube.com/watch?v=_E9jPb27Zuo</t>
      </text>
    </comment>
    <comment authorId="0" ref="C24">
      <text>
        <t xml:space="preserve">https://www.youtube.com/watch?v=xCML7QIwW3A</t>
      </text>
    </comment>
    <comment authorId="0" ref="C23">
      <text>
        <t xml:space="preserve">https://www.youtube.com/watch?v=vakBjN11D7s</t>
      </text>
    </comment>
    <comment authorId="0" ref="C19">
      <text>
        <t xml:space="preserve">https://youtu.be/xkd8Fi0VmzQ?si=c4N7CTedB1ROqQ7J</t>
      </text>
    </comment>
    <comment authorId="0" ref="C17">
      <text>
        <t xml:space="preserve">https://www.youtube.com/watch?v=nt-81IzMtHo</t>
      </text>
    </comment>
    <comment authorId="0" ref="C15">
      <text>
        <t xml:space="preserve">https://www.youtube.com/watch?v=bFatxuBGWbo</t>
      </text>
    </comment>
    <comment authorId="0" ref="C12">
      <text>
        <t xml:space="preserve">https://www.youtube.com/watch?v=86XKiCBaEmg</t>
      </text>
    </comment>
    <comment authorId="0" ref="C10">
      <text>
        <t xml:space="preserve">https://youtu.be/UHPyKenuVvc?si=9i6P4VqZ9fl-Au2D</t>
      </text>
    </comment>
    <comment authorId="0" ref="C8">
      <text>
        <t xml:space="preserve">https://www.youtube.com/watch?v=WfveA2W7hG4</t>
      </text>
    </comment>
    <comment authorId="0" ref="C38">
      <text>
        <t xml:space="preserve">https://www.youtube.com/watch?v=tPC2U-zjp4k</t>
      </text>
    </comment>
    <comment authorId="0" ref="C5">
      <text>
        <t xml:space="preserve">https://www.youtube.com/watch?v=ncfiD6kAHTo</t>
      </text>
    </comment>
    <comment authorId="0" ref="C4">
      <text>
        <t xml:space="preserve">https://www.youtube.com/watch?v=_624grv7tsk
This scenarios difficulty comes primarily from it's unorthodox movement patterns and its tendency to make large sweeping movements at varying speeds. 
I found it helpful to utilise my arm more than I initially expected to, I try to make my initial small correction with my wrist or fingertips then very quickly swap over to tracking with my arm to avoid reaching the end of your wrists range of motion. Reading the bots acceleration is also very important here and having smooth and stable movements will make that easier.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https://www.youtube.com/watch?v=B030-xfqfHs</t>
      </text>
    </comment>
    <comment authorId="0" ref="C35">
      <text>
        <t xml:space="preserve">https://www.youtube.com/watch?v=X58voIJXXEQ</t>
      </text>
    </comment>
    <comment authorId="0" ref="C34">
      <text>
        <t xml:space="preserve">https://www.youtube.com/watch?v=D4iBsjhbN1I</t>
      </text>
    </comment>
    <comment authorId="0" ref="C33">
      <text>
        <t xml:space="preserve">https://www.youtube.com/watch?v=CWtGDO0xr6A</t>
      </text>
    </comment>
    <comment authorId="0" ref="C32">
      <text>
        <t xml:space="preserve">https://www.youtube.com/watch?v=PWFHlCTBvbM</t>
      </text>
    </comment>
    <comment authorId="0" ref="C30">
      <text>
        <t xml:space="preserve">https://www.youtube.com/watch?v=ZWO-871mNsE</t>
      </text>
    </comment>
    <comment authorId="0" ref="C28">
      <text>
        <t xml:space="preserve">https://www.youtube.com/watch?v=ErzGe5LFrsw</t>
      </text>
    </comment>
    <comment authorId="0" ref="C25">
      <text>
        <t xml:space="preserve">https://www.youtube.com/watch?v=XZiwz4TPGR4</t>
      </text>
    </comment>
    <comment authorId="0" ref="C24">
      <text>
        <t xml:space="preserve">https://www.youtube.com/watch?v=XHnJnIP6bAA</t>
      </text>
    </comment>
    <comment authorId="0" ref="C22">
      <text>
        <t xml:space="preserve">https://www.youtube.com/watch?v=NzPsveu6-Cc</t>
      </text>
    </comment>
    <comment authorId="0" ref="C21">
      <text>
        <t xml:space="preserve">https://www.youtube.com/watch?v=I-R6HMFSghw</t>
      </text>
    </comment>
    <comment authorId="0" ref="C19">
      <text>
        <t xml:space="preserve">https://www.youtube.com/watch?v=mfqVxPntJsI
This scenario ends when you kill all of the bots, it doesn't take as long as the timer would suggest. Anywhere from 1-3 minutes depending on skill level</t>
      </text>
    </comment>
    <comment authorId="0" ref="C17">
      <text>
        <t xml:space="preserve">https://www.youtube.com/watch?v=vY7eZ6zozmQ
This scenario ends when you kill all of the bots, it doesn't take as long as the timer would suggest. Anywhere from 1-3 minutes depending on skill level</t>
      </text>
    </comment>
    <comment authorId="0" ref="C14">
      <text>
        <t xml:space="preserve">https://www.youtube.com/watch?v=kx9_yrH6u7c</t>
      </text>
    </comment>
    <comment authorId="0" ref="C13">
      <text>
        <t xml:space="preserve">https://www.youtube.com/watch?v=_cAbNP-h1WU
This scenario ends when you kill all of the bots, it doesn't take as long as the timer would suggest. Anywhere from 1-3 minutes depending on skill level</t>
      </text>
    </comment>
    <comment authorId="0" ref="C12">
      <text>
        <t xml:space="preserve">https://www.youtube.com/watch?v=VUuoRcOpI2M</t>
      </text>
    </comment>
    <comment authorId="0" ref="C11">
      <text>
        <t xml:space="preserve">https://www.youtube.com/watch?v=teiPh7j5M8E</t>
      </text>
    </comment>
    <comment authorId="0" ref="C10">
      <text>
        <t xml:space="preserve">https://www.youtube.com/watch?v=Emea22LTIxA</t>
      </text>
    </comment>
    <comment authorId="0" ref="C8">
      <text>
        <t xml:space="preserve">https://www.youtube.com/watch?v=pp2K0FZni3s</t>
      </text>
    </comment>
    <comment authorId="0" ref="C7">
      <text>
        <t xml:space="preserve">https://www.youtube.com/watch?v=jcKSwAMy2hI</t>
      </text>
    </comment>
    <comment authorId="0" ref="C38">
      <text>
        <t xml:space="preserve">https://www.youtube.com/watch?v=MTdALonVVhU</t>
      </text>
    </comment>
    <comment authorId="0" ref="C37">
      <text>
        <t xml:space="preserve">https://www.youtube.com/watch?v=YL7zIiY68C8</t>
      </text>
    </comment>
  </commentList>
</comments>
</file>

<file path=xl/sharedStrings.xml><?xml version="1.0" encoding="utf-8"?>
<sst xmlns="http://schemas.openxmlformats.org/spreadsheetml/2006/main" count="147" uniqueCount="101">
  <si>
    <r>
      <rPr>
        <rFont val="Comfortaa"/>
        <color rgb="FFC7E7EE"/>
        <sz val="12.0"/>
      </rPr>
      <t>Viscose</t>
    </r>
    <r>
      <rPr>
        <rFont val="Comfortaa"/>
        <color rgb="FFFFFFFF"/>
        <sz val="12.0"/>
      </rPr>
      <t xml:space="preserve"> Hard Scenarios</t>
    </r>
  </si>
  <si>
    <r>
      <rPr>
        <rFont val="Comfortaa"/>
        <color rgb="FFA5CAE4"/>
        <sz val="12.0"/>
      </rPr>
      <t>Viscose</t>
    </r>
    <r>
      <rPr>
        <rFont val="Comfortaa"/>
        <color rgb="FFFFFFFF"/>
        <sz val="12.0"/>
      </rPr>
      <t xml:space="preserve"> Easier Scenarios</t>
    </r>
  </si>
  <si>
    <r>
      <rPr>
        <rFont val="Comfortaa"/>
        <color rgb="FFA5CAE4"/>
        <sz val="12.0"/>
      </rPr>
      <t>Viscose</t>
    </r>
    <r>
      <rPr>
        <rFont val="Comfortaa"/>
        <color rgb="FFFFFFFF"/>
        <sz val="12.0"/>
      </rPr>
      <t xml:space="preserve"> Medium Scenarios</t>
    </r>
  </si>
  <si>
    <t>The Viscose Benches</t>
  </si>
  <si>
    <t>KovaaKsGearingMehLowground</t>
  </si>
  <si>
    <t>KovaaKsVibratingFlankedLurker</t>
  </si>
  <si>
    <r>
      <rPr>
        <rFont val="Comfortaa"/>
        <color rgb="FF434343"/>
        <sz val="9.0"/>
      </rPr>
      <t xml:space="preserve">Welcome to the </t>
    </r>
    <r>
      <rPr>
        <rFont val="Comfortaa"/>
        <color rgb="FFD5618B"/>
        <sz val="9.0"/>
      </rPr>
      <t>Viscose Benches</t>
    </r>
    <r>
      <rPr>
        <rFont val="Comfortaa"/>
        <color rgb="FF434343"/>
        <sz val="9.0"/>
      </rPr>
      <t>! Here are some things you should know:</t>
    </r>
  </si>
  <si>
    <t>KovaaKsTrollingFedCallout</t>
  </si>
  <si>
    <r>
      <rPr>
        <rFont val="Comfortaa"/>
        <color rgb="FFD48FA8"/>
        <sz val="9.0"/>
      </rPr>
      <t>•</t>
    </r>
    <r>
      <rPr>
        <rFont val="Comfortaa"/>
        <color rgb="FF434343"/>
        <sz val="9.0"/>
      </rPr>
      <t xml:space="preserve"> To use this sheet: in the top left, click </t>
    </r>
    <r>
      <rPr>
        <rFont val="Comfortaa"/>
        <color rgb="FFD5618B"/>
        <sz val="9.0"/>
      </rPr>
      <t>File → Make a Copy</t>
    </r>
    <r>
      <rPr>
        <rFont val="Comfortaa"/>
        <color rgb="FF434343"/>
        <sz val="9.0"/>
      </rPr>
      <t xml:space="preserve">. </t>
    </r>
  </si>
  <si>
    <t>Scenario</t>
  </si>
  <si>
    <t>Progress</t>
  </si>
  <si>
    <t>Lemming</t>
  </si>
  <si>
    <t>Wool</t>
  </si>
  <si>
    <r>
      <rPr>
        <rFont val="Comfortaa"/>
        <color rgb="FFD48FA8"/>
        <sz val="9.0"/>
      </rPr>
      <t>•</t>
    </r>
    <r>
      <rPr>
        <rFont val="Comfortaa"/>
        <color rgb="FF434343"/>
        <sz val="9.0"/>
      </rPr>
      <t xml:space="preserve"> I picked out scenarios that I personally found the most helpful for </t>
    </r>
    <r>
      <rPr>
        <rFont val="Comfortaa"/>
        <color rgb="FFD5618B"/>
        <sz val="9.0"/>
      </rPr>
      <t>ingame translation</t>
    </r>
    <r>
      <rPr>
        <rFont val="Comfortaa"/>
        <color rgb="FF434343"/>
        <sz val="9.0"/>
      </rPr>
      <t xml:space="preserve"> and </t>
    </r>
    <r>
      <rPr>
        <rFont val="Comfortaa"/>
        <color rgb="FFD5618B"/>
        <sz val="9.0"/>
      </rPr>
      <t>technique improvement</t>
    </r>
    <r>
      <rPr>
        <rFont val="Comfortaa"/>
        <color rgb="FF434343"/>
        <sz val="9.0"/>
      </rPr>
      <t>. While they are in benchmark form, this is more of a practice playlist disguised as a benchmark. That's why there are such a large number of scenarios and why some categories are underrepresented.</t>
    </r>
  </si>
  <si>
    <t>Linen</t>
  </si>
  <si>
    <t>Hare</t>
  </si>
  <si>
    <t>Velvet</t>
  </si>
  <si>
    <t>Cinnabar</t>
  </si>
  <si>
    <t>Ermine</t>
  </si>
  <si>
    <r>
      <rPr>
        <rFont val="Comfortaa"/>
        <color rgb="FFD48FA8"/>
        <sz val="9.0"/>
      </rPr>
      <t>•</t>
    </r>
    <r>
      <rPr>
        <rFont val="Comfortaa"/>
        <color rgb="FF434343"/>
        <sz val="9.0"/>
      </rPr>
      <t xml:space="preserve"> One of the issues I tried to address with these benches is how going between Intermediate and Advanced can feel like a huge jump. To fix this, I have added </t>
    </r>
    <r>
      <rPr>
        <rFont val="Comfortaa"/>
        <color rgb="FFD5618B"/>
        <sz val="9.0"/>
      </rPr>
      <t>additional ranks</t>
    </r>
    <r>
      <rPr>
        <rFont val="Comfortaa"/>
        <color rgb="FF434343"/>
        <sz val="9.0"/>
      </rPr>
      <t xml:space="preserve"> in each difficulty, and left some overlap between them with the intent that people play two sets of benchmarks simultaneously to vary their focus. I'd recommend beginner players try intermediate if they can comfortable get mammoth scores, and players on the intermediate benchmarks try advanced once they are around lavender/indigo.</t>
    </r>
  </si>
  <si>
    <t>Penguin</t>
  </si>
  <si>
    <r>
      <rPr>
        <rFont val="Comfortaa"/>
        <color rgb="FFD48FA8"/>
        <sz val="9.0"/>
      </rPr>
      <t>•</t>
    </r>
    <r>
      <rPr>
        <rFont val="Comfortaa"/>
        <color rgb="FF434343"/>
        <sz val="9.0"/>
      </rPr>
      <t xml:space="preserve"> In order to get a rank, you need to get at least one score in </t>
    </r>
    <r>
      <rPr>
        <rFont val="Comfortaa"/>
        <color rgb="FFD5618B"/>
        <sz val="9.0"/>
      </rPr>
      <t>each subcategory</t>
    </r>
    <r>
      <rPr>
        <rFont val="Comfortaa"/>
        <color rgb="FF434343"/>
        <sz val="9.0"/>
      </rPr>
      <t>. It's hard and it takes forever to get a rank, but I want to push people to be well rounded.</t>
    </r>
  </si>
  <si>
    <t>Chiffon</t>
  </si>
  <si>
    <r>
      <rPr>
        <rFont val="Comfortaa"/>
        <color rgb="FFD48FA8"/>
        <sz val="9.0"/>
      </rPr>
      <t>•</t>
    </r>
    <r>
      <rPr>
        <rFont val="Comfortaa"/>
        <color rgb="FF434343"/>
        <sz val="9.0"/>
      </rPr>
      <t xml:space="preserve"> The number next to each scenario is your accumulated </t>
    </r>
    <r>
      <rPr>
        <rFont val="Comfortaa"/>
        <color rgb="FFD5618B"/>
        <sz val="9.0"/>
      </rPr>
      <t xml:space="preserve">threads. </t>
    </r>
    <r>
      <rPr>
        <rFont val="Comfortaa"/>
        <color rgb="FF434343"/>
        <sz val="9.0"/>
      </rPr>
      <t>The closer you are to the top score requirement on a given scenario, the more threads you receive. This gives you a look at the overall strength of your scoresheet, but doesn't actually affect your rank. Your total threads is summed at the top.</t>
    </r>
  </si>
  <si>
    <r>
      <rPr>
        <rFont val="Comfortaa"/>
        <color rgb="FFD48FA8"/>
        <sz val="9.0"/>
      </rPr>
      <t>•</t>
    </r>
    <r>
      <rPr>
        <rFont val="Comfortaa"/>
        <color rgb="FF434343"/>
        <sz val="9.0"/>
      </rPr>
      <t xml:space="preserve"> Currently, the score targets are prospective. On each difficulty, we have a link in the top right to a </t>
    </r>
    <r>
      <rPr>
        <rFont val="Comfortaa"/>
        <color rgb="FFD5618B"/>
        <sz val="9.0"/>
      </rPr>
      <t>feedback form</t>
    </r>
    <r>
      <rPr>
        <rFont val="Comfortaa"/>
        <color rgb="FF434343"/>
        <sz val="9.0"/>
      </rPr>
      <t>. Please send your sheets and opinions so we can balance these targets!</t>
    </r>
  </si>
  <si>
    <t>Satin</t>
  </si>
  <si>
    <r>
      <rPr>
        <rFont val="Comfortaa"/>
        <color rgb="FFD48FA8"/>
        <sz val="9.0"/>
      </rPr>
      <t>•</t>
    </r>
    <r>
      <rPr>
        <rFont val="Comfortaa"/>
        <color rgb="FF434343"/>
        <sz val="9.0"/>
      </rPr>
      <t xml:space="preserve"> For categories like Arm, Wrist, and Fingertips, these scenarios are categorized by what </t>
    </r>
    <r>
      <rPr>
        <rFont val="Comfortaa"/>
        <color rgb="FFD5618B"/>
        <sz val="9.0"/>
      </rPr>
      <t>muscle group</t>
    </r>
    <r>
      <rPr>
        <rFont val="Comfortaa"/>
        <color rgb="FF434343"/>
        <sz val="9.0"/>
      </rPr>
      <t xml:space="preserve"> I think they stress the most. These classifications can break at certain sensitivities, but I found these scenarios to target those particular muscle groups very effectively in practice. Scores slower than 50cm on fingertip scenarios are invalid, and 103hfov is the minimum for all scenarios.</t>
    </r>
  </si>
  <si>
    <t>Vermillion</t>
  </si>
  <si>
    <r>
      <rPr>
        <rFont val="Comfortaa"/>
        <color rgb="FFD48FA8"/>
        <sz val="9.0"/>
      </rPr>
      <t>•</t>
    </r>
    <r>
      <rPr>
        <rFont val="Comfortaa"/>
        <color rgb="FF434343"/>
        <sz val="9.0"/>
      </rPr>
      <t xml:space="preserve"> If you click any scenario name, I have left a</t>
    </r>
    <r>
      <rPr>
        <rFont val="Comfortaa"/>
        <color rgb="FFD5618B"/>
        <sz val="9.0"/>
      </rPr>
      <t xml:space="preserve"> comment</t>
    </r>
    <r>
      <rPr>
        <rFont val="Comfortaa"/>
        <color rgb="FF434343"/>
        <sz val="9.0"/>
      </rPr>
      <t xml:space="preserve"> that tells you how to get the most out of each scenario and what to focus on while you practice. </t>
    </r>
    <r>
      <rPr>
        <rFont val="Comfortaa"/>
        <b/>
        <color rgb="FF434343"/>
        <sz val="9.0"/>
      </rPr>
      <t>(WIP)</t>
    </r>
  </si>
  <si>
    <r>
      <rPr>
        <rFont val="Comfortaa"/>
        <color rgb="FFD48FA8"/>
        <sz val="9.0"/>
      </rPr>
      <t>•</t>
    </r>
    <r>
      <rPr>
        <rFont val="Comfortaa"/>
        <color rgb="FF434343"/>
        <sz val="9.0"/>
      </rPr>
      <t xml:space="preserve"> The difficulty of each tab of benchmarks refers to the relative difficulty of the scenarios in them, </t>
    </r>
    <r>
      <rPr>
        <rFont val="Comfortaa"/>
        <b/>
        <color rgb="FF434343"/>
        <sz val="9.0"/>
      </rPr>
      <t>not</t>
    </r>
    <r>
      <rPr>
        <rFont val="Comfortaa"/>
        <color rgb="FF434343"/>
        <sz val="9.0"/>
      </rPr>
      <t xml:space="preserve"> the skill of the players who should be playing them. Medium difficulty scenarios feature ranks stretching well into what would be exclusive to the advanced benchmarks on voltaic</t>
    </r>
  </si>
  <si>
    <t>Fox</t>
  </si>
  <si>
    <t>Mammoth</t>
  </si>
  <si>
    <t>Orca</t>
  </si>
  <si>
    <t>Seal</t>
  </si>
  <si>
    <t>Silk</t>
  </si>
  <si>
    <t>Saffron</t>
  </si>
  <si>
    <r>
      <rPr>
        <rFont val="Comfortaa"/>
        <color rgb="FFD48FA8"/>
        <sz val="9.0"/>
      </rPr>
      <t>•</t>
    </r>
    <r>
      <rPr>
        <rFont val="Comfortaa"/>
        <color rgb="FF434343"/>
        <sz val="9.0"/>
      </rPr>
      <t xml:space="preserve"> This sheet is a joint project between myself and </t>
    </r>
    <r>
      <rPr>
        <rFont val="Comfortaa"/>
        <color rgb="FFD5618B"/>
        <sz val="9.0"/>
      </rPr>
      <t>pinguefy</t>
    </r>
    <r>
      <rPr>
        <rFont val="Comfortaa"/>
        <color rgb="FF434343"/>
        <sz val="9.0"/>
      </rPr>
      <t>! Feel free to @ pingu in the Raw Input discord if you run into any issues or want to provide suggestions.</t>
    </r>
  </si>
  <si>
    <t>Control Tracking</t>
  </si>
  <si>
    <t>My links:</t>
  </si>
  <si>
    <t>Arm</t>
  </si>
  <si>
    <t>Viscose</t>
  </si>
  <si>
    <t>Celadon</t>
  </si>
  <si>
    <t>pingu's links:</t>
  </si>
  <si>
    <t>YouTube</t>
  </si>
  <si>
    <t>Cerulean</t>
  </si>
  <si>
    <t>Lavender</t>
  </si>
  <si>
    <t>2nd Channel</t>
  </si>
  <si>
    <t>Twitter</t>
  </si>
  <si>
    <t>Twitch</t>
  </si>
  <si>
    <t>Raw Input Discord</t>
  </si>
  <si>
    <t>Patreon</t>
  </si>
  <si>
    <t>Indigo</t>
  </si>
  <si>
    <t>@jvniper on Discord</t>
  </si>
  <si>
    <t>My Discord</t>
  </si>
  <si>
    <t>Raw Input Podcast (aim podcast with us two + MissColourz)</t>
  </si>
  <si>
    <t>Fuchsia</t>
  </si>
  <si>
    <r>
      <rPr>
        <rFont val="Comfortaa"/>
        <color rgb="FFCE3D30"/>
      </rPr>
      <t>Mi</t>
    </r>
    <r>
      <rPr>
        <rFont val="Comfortaa"/>
        <color rgb="FFFF6344"/>
      </rPr>
      <t>ss</t>
    </r>
    <r>
      <rPr>
        <rFont val="Comfortaa"/>
        <color rgb="FFF1C338"/>
      </rPr>
      <t>Co</t>
    </r>
    <r>
      <rPr>
        <rFont val="Comfortaa"/>
        <color rgb="FF53FA40"/>
      </rPr>
      <t>lo</t>
    </r>
    <r>
      <rPr>
        <rFont val="Comfortaa"/>
        <color rgb="FF02A4D3"/>
      </rPr>
      <t>ur</t>
    </r>
    <r>
      <rPr>
        <rFont val="Comfortaa"/>
        <color rgb="FF5959FF"/>
      </rPr>
      <t>z</t>
    </r>
  </si>
  <si>
    <t>VISCOSIMETER</t>
  </si>
  <si>
    <t>Wrist</t>
  </si>
  <si>
    <t>Fingertip</t>
  </si>
  <si>
    <t>Blending</t>
  </si>
  <si>
    <t>Reactive Tracking</t>
  </si>
  <si>
    <t>Control</t>
  </si>
  <si>
    <t>Speed</t>
  </si>
  <si>
    <t>Reading</t>
  </si>
  <si>
    <t>Flick Tech</t>
  </si>
  <si>
    <t>Stability</t>
  </si>
  <si>
    <t>Micro</t>
  </si>
  <si>
    <t>Post-flick</t>
  </si>
  <si>
    <t>Dynamic Clicking</t>
  </si>
  <si>
    <t>Precision</t>
  </si>
  <si>
    <t>Linear</t>
  </si>
  <si>
    <t>Evasive</t>
  </si>
  <si>
    <t>Click Timing</t>
  </si>
  <si>
    <t>Changelog</t>
  </si>
  <si>
    <t>Date</t>
  </si>
  <si>
    <t>Changes</t>
  </si>
  <si>
    <t>17/7/25</t>
  </si>
  <si>
    <r>
      <rPr>
        <rFont val="Comfortaa"/>
        <b/>
        <color theme="1"/>
        <sz val="8.0"/>
      </rPr>
      <t>- Added Indigo rank to help bridge the gap between Intermediate and Advanced.</t>
    </r>
    <r>
      <rPr>
        <rFont val="Comfortaa"/>
        <color theme="1"/>
        <sz val="8.0"/>
      </rPr>
      <t xml:space="preserve">
- Ground Plaza Sparky v3 Fuchsia (now Indigo): 906 -&gt; 905
- Air Pure Fuchsia (now Indigo): 910 -&gt; 909
- Pokeball Frenzy Auto TE Indigo and Fuchsia nerfed, 3750 -&gt; 3700 and 4,000 -&gt; 3,900
- Polarized Hell Easy 20% Slower Indigo and Fuchsia buffed, 3100 -&gt; 3150 and 3250 -&gt; 3,400</t>
    </r>
  </si>
  <si>
    <t>19/7/25</t>
  </si>
  <si>
    <t>Significant changes to wool, linen and velvet and slight changes to chiffon</t>
  </si>
  <si>
    <t>- Wool Changes (discord links)</t>
  </si>
  <si>
    <t>- Linen Changes</t>
  </si>
  <si>
    <t>- Velvet Changes</t>
  </si>
  <si>
    <r>
      <rPr>
        <rFont val="Comfortaa"/>
        <color rgb="FF468DA3"/>
        <sz val="8.0"/>
      </rPr>
      <t xml:space="preserve">- </t>
    </r>
    <r>
      <rPr>
        <rFont val="Comfortaa"/>
        <color rgb="FF468DA3"/>
        <sz val="8.0"/>
      </rPr>
      <t>Chiffon Changes</t>
    </r>
  </si>
  <si>
    <t>20/7/25</t>
  </si>
  <si>
    <t>Swapped Air CELESTIAL No UFO Easy 80% for Air CELESTIAL No UFO Easy Slowed on the easier scenarios list</t>
  </si>
  <si>
    <t>25/7/2025</t>
  </si>
  <si>
    <t>- Added scores for the rest of the easier scenarios
- Rebalanced hare, overall making it easier to obtain. Basically universal nerfs for most scenarios
- Buffed Controlsphere rAim on Hard Scenarios
- Nerfed Pokeball Frenzy Auto Te on Hard and Medium Scenarios
- Rebalanced tamTargetSwitch Smooth Easy
- Whisphere Fuchsia nerfed from 21,000 to 20,750
- Buffed Air Angelic 4 Voltaic Easy
- Polarized Hell Easy 20% Slower Fuchsia 3,400 -&gt; 3,350
- Nerfed Floating Heads Timing 400% Larger on the Medium Scenarios
- Rebalanced DevTS Goated NR Static 5Bot</t>
  </si>
  <si>
    <t>26/7/2025</t>
  </si>
  <si>
    <t>- fixed broken rank calculation on beginner sheet</t>
  </si>
  <si>
    <t>13/8/2025</t>
  </si>
  <si>
    <t>- added pgti voltaic + variants in place of vt raw control precision focus</t>
  </si>
  <si>
    <t>16/8/2025</t>
  </si>
  <si>
    <t>- swapped b180 voltaic and b180 voltaic easy for bounceshot variants, easier scenarios still feature b180 voltaic
- swapped gpsv3 ow with gpsv3 thin for the hard scenarios and tweaked score targets accordingly
- renamed dynamic clicking category to click timing
- added one new scenario per subcategory in the click timing category
- added lemming rank below hare
- added voxtargetswitch 2 + variants in the speed flick tech subcategory
- swapped vt floating heads switching for floatts angelic + variants
- changed a lot of the easier scenarios score targets</t>
  </si>
  <si>
    <t>21/8/2025</t>
  </si>
  <si>
    <t>- buffed devTS Goated NR Static 5bot
- nerfed devTS Goated NR Static Small 5Bot
- nerfed tamtargetswitch smooth easy</t>
  </si>
  <si>
    <t>25/08/2025</t>
  </si>
  <si>
    <t xml:space="preserve">- nerfed tamTargetSwitch Smooth
- fixed typo for silk score on controlsphere rAim
- nerfed whisphererawcontrol 30% small
- nerfed air angelic 4 voltaic easy 80% </t>
  </si>
  <si>
    <t>- nerfed PGTI Voltaic Easy</t>
  </si>
  <si>
    <t>- nerfed VT Controlsphere Novice S5 Hard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</si>
</sst>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5">
    <font>
      <sz val="10.0"/>
      <color rgb="FF000000"/>
      <name val="Arial"/>
      <scheme val="minor"/>
    </font>
    <font>
      <sz val="12.0"/>
      <color rgb="FFFFFFFF"/>
      <name val="Comfortaa"/>
    </font>
    <font>
      <color theme="1"/>
      <name val="Comfortaa"/>
    </font>
    <font/>
    <font>
      <b/>
      <sz val="36.0"/>
      <color rgb="FFD5618B"/>
      <name val="Comfortaa"/>
    </font>
    <font>
      <sz val="8.0"/>
      <color rgb="FFB7B7B7"/>
      <name val="Comfortaa"/>
    </font>
    <font>
      <sz val="10.0"/>
      <color rgb="FFFFFFFF"/>
      <name val="Comfortaa"/>
    </font>
    <font>
      <sz val="11.0"/>
      <color rgb="FF666666"/>
      <name val="Comfortaa"/>
    </font>
    <font>
      <sz val="8.0"/>
      <color rgb="FFFFFFFF"/>
      <name val="Comfortaa"/>
    </font>
    <font>
      <sz val="9.0"/>
      <color rgb="FF434343"/>
      <name val="Comfortaa"/>
    </font>
    <font>
      <u/>
      <sz val="8.0"/>
      <color rgb="FFFFFFFF"/>
      <name val="Comfortaa"/>
    </font>
    <font>
      <sz val="8.0"/>
      <color rgb="FFD7EDF7"/>
      <name val="Comfortaa"/>
    </font>
    <font>
      <color rgb="FFE8DEEE"/>
      <name val="Comfortaa"/>
    </font>
    <font>
      <sz val="9.0"/>
      <color rgb="FF573D24"/>
      <name val="Comfortaa"/>
    </font>
    <font>
      <color rgb="FFDBE3E9"/>
      <name val="Comfortaa"/>
    </font>
    <font>
      <color rgb="FF0B3A50"/>
      <name val="Comfortaa"/>
    </font>
    <font>
      <color rgb="FFCCCCCC"/>
      <name val="Comfortaa"/>
    </font>
    <font>
      <b/>
      <sz val="8.0"/>
      <color rgb="FF434343"/>
      <name val="Comfortaa"/>
    </font>
    <font>
      <b/>
      <sz val="8.0"/>
      <color rgb="FF0B3A50"/>
      <name val="Comfortaa"/>
    </font>
    <font>
      <color rgb="FF928583"/>
      <name val="Comfortaa"/>
    </font>
    <font>
      <color rgb="FF2E26E4"/>
      <name val="Comfortaa"/>
    </font>
    <font>
      <color rgb="FF9E5345"/>
      <name val="Comfortaa"/>
    </font>
    <font>
      <color rgb="FF277DE7"/>
      <name val="Comfortaa"/>
    </font>
    <font>
      <color rgb="FF1E858F"/>
      <name val="Comfortaa"/>
    </font>
    <font>
      <color rgb="FF6D1B09"/>
      <name val="Comfortaa"/>
    </font>
    <font>
      <color rgb="FF095A7E"/>
      <name val="Comfortaa"/>
    </font>
    <font>
      <color rgb="FFEAC5C5"/>
      <name val="Comfortaa"/>
    </font>
    <font>
      <color rgb="FFC3D2EE"/>
      <name val="Comfortaa"/>
    </font>
    <font>
      <color rgb="FFC4C5E6"/>
      <name val="Comfortaa"/>
    </font>
    <font>
      <color rgb="FFC5B3D5"/>
      <name val="Comfortaa"/>
    </font>
    <font>
      <color rgb="FFEADCF1"/>
      <name val="Comfortaa"/>
    </font>
    <font>
      <color rgb="FF073B50"/>
      <name val="Comfortaa"/>
    </font>
    <font>
      <color rgb="FFFFB8AA"/>
      <name val="Comfortaa"/>
    </font>
    <font>
      <color rgb="FF970F78"/>
      <name val="Comfortaa"/>
    </font>
    <font>
      <color rgb="FFF3F3F3"/>
      <name val="Comfortaa"/>
    </font>
    <font>
      <color rgb="FFBEECFA"/>
      <name val="Comfortaa"/>
    </font>
    <font>
      <b/>
      <color rgb="FF1F3D51"/>
      <name val="Comfortaa"/>
    </font>
    <font>
      <color rgb="FF1F3D51"/>
      <name val="Comfortaa"/>
    </font>
    <font>
      <color rgb="FF6F4205"/>
      <name val="Comfortaa"/>
    </font>
    <font>
      <b/>
      <sz val="9.0"/>
      <color rgb="FF434343"/>
      <name val="Comfortaa"/>
    </font>
    <font>
      <sz val="9.0"/>
      <color rgb="FFCCCCCC"/>
      <name val="Comfortaa"/>
    </font>
    <font>
      <sz val="9.0"/>
      <color rgb="FF0B3A50"/>
      <name val="Comfortaa"/>
    </font>
    <font>
      <color rgb="FF32662C"/>
      <name val="Comfortaa"/>
    </font>
    <font>
      <u/>
      <sz val="8.0"/>
      <color rgb="FFD5618B"/>
      <name val="Comfortaa"/>
    </font>
    <font>
      <sz val="8.0"/>
      <color rgb="FF434343"/>
      <name val="Comfortaa"/>
    </font>
    <font>
      <color rgb="FFB8EFFF"/>
      <name val="Comfortaa"/>
    </font>
    <font>
      <sz val="9.0"/>
      <color rgb="FF353535"/>
      <name val="Comfortaa"/>
    </font>
    <font>
      <sz val="8.0"/>
      <color rgb="FF0B3A50"/>
      <name val="Comfortaa"/>
    </font>
    <font>
      <b/>
      <color theme="1"/>
      <name val="Comfortaa"/>
    </font>
    <font>
      <sz val="9.0"/>
      <color theme="1"/>
      <name val="Comfortaa"/>
    </font>
    <font>
      <color rgb="FF3E3EFD"/>
      <name val="Comfortaa"/>
    </font>
    <font>
      <sz val="8.0"/>
      <color rgb="FFD5618B"/>
      <name val="Comfortaa"/>
    </font>
    <font>
      <color rgb="FFC4A7F7"/>
      <name val="Comfortaa"/>
    </font>
    <font>
      <color rgb="FFF8BCD3"/>
      <name val="Comfortaa"/>
    </font>
    <font>
      <color rgb="FF353535"/>
      <name val="Comfortaa"/>
    </font>
    <font>
      <color rgb="FFFFFFFF"/>
      <name val="Comfortaa"/>
    </font>
    <font>
      <sz val="9.0"/>
      <color rgb="FF2C2C2C"/>
      <name val="Comfortaa"/>
    </font>
    <font>
      <sz val="9.0"/>
      <color rgb="FF273F56"/>
      <name val="Comfortaa"/>
    </font>
    <font>
      <sz val="10.0"/>
      <color rgb="FF2C2C2C"/>
      <name val="Comfortaa"/>
    </font>
    <font>
      <sz val="9.0"/>
      <color rgb="FF2C2C2C"/>
      <name val="Wix Madefor Display"/>
    </font>
    <font>
      <b/>
      <sz val="12.0"/>
      <color rgb="FFF3FBFF"/>
      <name val="Comfortaa"/>
    </font>
    <font>
      <sz val="8.0"/>
      <color theme="1"/>
      <name val="Comfortaa"/>
    </font>
    <font>
      <b/>
      <sz val="8.0"/>
      <color theme="1"/>
      <name val="Comfortaa"/>
    </font>
    <font>
      <sz val="8.0"/>
      <color rgb="FF468DA3"/>
      <name val="Comfortaa"/>
    </font>
    <font>
      <sz val="8.0"/>
      <color rgb="FF000000"/>
      <name val="Comfortaa"/>
    </font>
  </fonts>
  <fills count="72">
    <fill>
      <patternFill patternType="none"/>
    </fill>
    <fill>
      <patternFill patternType="lightGray"/>
    </fill>
    <fill>
      <patternFill patternType="solid">
        <fgColor rgb="FF09093B"/>
        <bgColor rgb="FF09093B"/>
      </patternFill>
    </fill>
    <fill>
      <patternFill patternType="solid">
        <fgColor rgb="FF353535"/>
        <bgColor rgb="FF353535"/>
      </patternFill>
    </fill>
    <fill>
      <patternFill patternType="solid">
        <fgColor rgb="FF677E8F"/>
        <bgColor rgb="FF677E8F"/>
      </patternFill>
    </fill>
    <fill>
      <patternFill patternType="solid">
        <fgColor rgb="FFF1D7E0"/>
        <bgColor rgb="FFF1D7E0"/>
      </patternFill>
    </fill>
    <fill>
      <patternFill patternType="solid">
        <fgColor rgb="FFE0B0C1"/>
        <bgColor rgb="FFE0B0C1"/>
      </patternFill>
    </fill>
    <fill>
      <patternFill patternType="solid">
        <fgColor rgb="FFF7E9EE"/>
        <bgColor rgb="FFF7E9EE"/>
      </patternFill>
    </fill>
    <fill>
      <patternFill patternType="solid">
        <fgColor rgb="FFF6F6F6"/>
        <bgColor rgb="FFF6F6F6"/>
      </patternFill>
    </fill>
    <fill>
      <patternFill patternType="solid">
        <fgColor rgb="FF434343"/>
        <bgColor rgb="FF434343"/>
      </patternFill>
    </fill>
    <fill>
      <patternFill patternType="solid">
        <fgColor rgb="FF151547"/>
        <bgColor rgb="FF151547"/>
      </patternFill>
    </fill>
    <fill>
      <patternFill patternType="solid">
        <fgColor rgb="FF404074"/>
        <bgColor rgb="FF404074"/>
      </patternFill>
    </fill>
    <fill>
      <patternFill patternType="solid">
        <fgColor rgb="FF829EB3"/>
        <bgColor rgb="FF829EB3"/>
      </patternFill>
    </fill>
    <fill>
      <patternFill patternType="solid">
        <fgColor rgb="FF9EB3BD"/>
        <bgColor rgb="FF9EB3BD"/>
      </patternFill>
    </fill>
    <fill>
      <patternFill patternType="solid">
        <fgColor rgb="FF666666"/>
        <bgColor rgb="FF666666"/>
      </patternFill>
    </fill>
    <fill>
      <patternFill patternType="solid">
        <fgColor rgb="FFC8C8EE"/>
        <bgColor rgb="FFC8C8EE"/>
      </patternFill>
    </fill>
    <fill>
      <patternFill patternType="solid">
        <fgColor rgb="FFAFCCDA"/>
        <bgColor rgb="FFAFCCDA"/>
      </patternFill>
    </fill>
    <fill>
      <patternFill patternType="solid">
        <fgColor rgb="FFF1ECEB"/>
        <bgColor rgb="FFF1ECEB"/>
      </patternFill>
    </fill>
    <fill>
      <patternFill patternType="solid">
        <fgColor rgb="FFC5C3F2"/>
        <bgColor rgb="FFC5C3F2"/>
      </patternFill>
    </fill>
    <fill>
      <patternFill patternType="solid">
        <fgColor rgb="FFB7B7B7"/>
        <bgColor rgb="FFB7B7B7"/>
      </patternFill>
    </fill>
    <fill>
      <patternFill patternType="solid">
        <fgColor rgb="FFEED3CE"/>
        <bgColor rgb="FFEED3CE"/>
      </patternFill>
    </fill>
    <fill>
      <patternFill patternType="solid">
        <fgColor rgb="FFB2CBEA"/>
        <bgColor rgb="FFB2CBEA"/>
      </patternFill>
    </fill>
    <fill>
      <patternFill patternType="solid">
        <fgColor rgb="FFBAF6FC"/>
        <bgColor rgb="FFBAF6FC"/>
      </patternFill>
    </fill>
    <fill>
      <patternFill patternType="solid">
        <fgColor rgb="FFEEC8C7"/>
        <bgColor rgb="FFEEC8C7"/>
      </patternFill>
    </fill>
    <fill>
      <patternFill patternType="solid">
        <fgColor rgb="FFB3E0F4"/>
        <bgColor rgb="FFB3E0F4"/>
      </patternFill>
    </fill>
    <fill>
      <patternFill patternType="solid">
        <fgColor rgb="FFCE3D30"/>
        <bgColor rgb="FFCE3D30"/>
      </patternFill>
    </fill>
    <fill>
      <patternFill patternType="solid">
        <fgColor rgb="FF6B94DF"/>
        <bgColor rgb="FF6B94DF"/>
      </patternFill>
    </fill>
    <fill>
      <patternFill patternType="solid">
        <fgColor rgb="FF5558AA"/>
        <bgColor rgb="FF5558AA"/>
      </patternFill>
    </fill>
    <fill>
      <patternFill patternType="solid">
        <fgColor rgb="FF6E3F98"/>
        <bgColor rgb="FF6E3F98"/>
      </patternFill>
    </fill>
    <fill>
      <patternFill patternType="solid">
        <fgColor rgb="FFC080E4"/>
        <bgColor rgb="FFC080E4"/>
      </patternFill>
    </fill>
    <fill>
      <patternFill patternType="solid">
        <fgColor rgb="FF77B7D0"/>
        <bgColor rgb="FF77B7D0"/>
      </patternFill>
    </fill>
    <fill>
      <patternFill patternType="solid">
        <fgColor rgb="FFF85939"/>
        <bgColor rgb="FFF85939"/>
      </patternFill>
    </fill>
    <fill>
      <patternFill patternType="solid">
        <fgColor rgb="FFF5BDE8"/>
        <bgColor rgb="FFF5BDE8"/>
      </patternFill>
    </fill>
    <fill>
      <patternFill patternType="solid">
        <fgColor rgb="FF468DA3"/>
        <bgColor rgb="FF468DA3"/>
      </patternFill>
    </fill>
    <fill>
      <patternFill patternType="solid">
        <fgColor rgb="FFA5CAE4"/>
        <bgColor rgb="FFA5CAE4"/>
      </patternFill>
    </fill>
    <fill>
      <patternFill patternType="solid">
        <fgColor rgb="FFF1C338"/>
        <bgColor rgb="FFF1C338"/>
      </patternFill>
    </fill>
    <fill>
      <patternFill patternType="solid">
        <fgColor rgb="FF9CFF91"/>
        <bgColor rgb="FF9CFF91"/>
      </patternFill>
    </fill>
    <fill>
      <patternFill patternType="solid">
        <fgColor rgb="FFE9E9E9"/>
        <bgColor rgb="FFE9E9E9"/>
      </patternFill>
    </fill>
    <fill>
      <patternFill patternType="solid">
        <fgColor rgb="FFFAFAFA"/>
        <bgColor rgb="FFFAFAFA"/>
      </patternFill>
    </fill>
    <fill>
      <patternFill patternType="solid">
        <fgColor rgb="FF02A4D3"/>
        <bgColor rgb="FF02A4D3"/>
      </patternFill>
    </fill>
    <fill>
      <patternFill patternType="solid">
        <fgColor rgb="FFCCE2EC"/>
        <bgColor rgb="FFCCE2EC"/>
      </patternFill>
    </fill>
    <fill>
      <patternFill patternType="solid">
        <fgColor rgb="FFFFFFFF"/>
        <bgColor rgb="FFFFFFFF"/>
      </patternFill>
    </fill>
    <fill>
      <patternFill patternType="solid">
        <fgColor rgb="FFEAF7FF"/>
        <bgColor rgb="FFEAF7FF"/>
      </patternFill>
    </fill>
    <fill>
      <patternFill patternType="solid">
        <fgColor rgb="FFC2C2FF"/>
        <bgColor rgb="FFC2C2FF"/>
      </patternFill>
    </fill>
    <fill>
      <patternFill patternType="solid">
        <fgColor rgb="FF5C3896"/>
        <bgColor rgb="FF5C3896"/>
      </patternFill>
    </fill>
    <fill>
      <patternFill patternType="solid">
        <fgColor rgb="FFC74375"/>
        <bgColor rgb="FFC74375"/>
      </patternFill>
    </fill>
    <fill>
      <patternFill patternType="solid">
        <fgColor rgb="FF000000"/>
        <bgColor rgb="FF000000"/>
      </patternFill>
    </fill>
    <fill>
      <patternFill patternType="solid">
        <fgColor rgb="FFEA9790"/>
        <bgColor rgb="FFEA9790"/>
      </patternFill>
    </fill>
    <fill>
      <patternFill patternType="solid">
        <fgColor rgb="FFF8BCD3"/>
        <bgColor rgb="FFF8BCD3"/>
      </patternFill>
    </fill>
    <fill>
      <patternFill patternType="solid">
        <fgColor rgb="FFEDEDFC"/>
        <bgColor rgb="FFEDEDFC"/>
      </patternFill>
    </fill>
    <fill>
      <patternFill patternType="solid">
        <fgColor rgb="FFFDCAA5"/>
        <bgColor rgb="FFFDCAA5"/>
      </patternFill>
    </fill>
    <fill>
      <patternFill patternType="solid">
        <fgColor rgb="FFFFF2EF"/>
        <bgColor rgb="FFFFF2EF"/>
      </patternFill>
    </fill>
    <fill>
      <patternFill patternType="solid">
        <fgColor rgb="FFFFEFEE"/>
        <bgColor rgb="FFFFEFEE"/>
      </patternFill>
    </fill>
    <fill>
      <patternFill patternType="solid">
        <fgColor rgb="FFD7EDF7"/>
        <bgColor rgb="FFD7EDF7"/>
      </patternFill>
    </fill>
    <fill>
      <patternFill patternType="solid">
        <fgColor rgb="FFA9DBF0"/>
        <bgColor rgb="FFA9DBF0"/>
      </patternFill>
    </fill>
    <fill>
      <patternFill patternType="solid">
        <fgColor rgb="FFAAD4E2"/>
        <bgColor rgb="FFAAD4E2"/>
      </patternFill>
    </fill>
    <fill>
      <patternFill patternType="solid">
        <fgColor rgb="FFDFEFFA"/>
        <bgColor rgb="FFDFEFFA"/>
      </patternFill>
    </fill>
    <fill>
      <patternFill patternType="solid">
        <fgColor rgb="FFDEE9F7"/>
        <bgColor rgb="FFDEE9F7"/>
      </patternFill>
    </fill>
    <fill>
      <patternFill patternType="solid">
        <fgColor rgb="FFF5E6B8"/>
        <bgColor rgb="FFF5E6B8"/>
      </patternFill>
    </fill>
    <fill>
      <patternFill patternType="solid">
        <fgColor rgb="FFE9FDFF"/>
        <bgColor rgb="FFE9FDFF"/>
      </patternFill>
    </fill>
    <fill>
      <patternFill patternType="solid">
        <fgColor rgb="FFD4FFD0"/>
        <bgColor rgb="FFD4FFD0"/>
      </patternFill>
    </fill>
    <fill>
      <patternFill patternType="solid">
        <fgColor rgb="FFBFD7FF"/>
        <bgColor rgb="FFBFD7FF"/>
      </patternFill>
    </fill>
    <fill>
      <patternFill patternType="solid">
        <fgColor rgb="FFB8EFFF"/>
        <bgColor rgb="FFB8EFFF"/>
      </patternFill>
    </fill>
    <fill>
      <patternFill patternType="solid">
        <fgColor rgb="FFBFC0EB"/>
        <bgColor rgb="FFBFC0EB"/>
      </patternFill>
    </fill>
    <fill>
      <patternFill patternType="solid">
        <fgColor rgb="FFEDEDFF"/>
        <bgColor rgb="FFEDEDFF"/>
      </patternFill>
    </fill>
    <fill>
      <patternFill patternType="solid">
        <fgColor rgb="FFBEA3D5"/>
        <bgColor rgb="FFBEA3D5"/>
      </patternFill>
    </fill>
    <fill>
      <patternFill patternType="solid">
        <fgColor rgb="FFDCCDF6"/>
        <bgColor rgb="FFDCCDF6"/>
      </patternFill>
    </fill>
    <fill>
      <patternFill patternType="solid">
        <fgColor rgb="FFE1C6F1"/>
        <bgColor rgb="FFE1C6F1"/>
      </patternFill>
    </fill>
    <fill>
      <patternFill patternType="solid">
        <fgColor rgb="FFFFE9F9"/>
        <bgColor rgb="FFFFE9F9"/>
      </patternFill>
    </fill>
    <fill>
      <patternFill patternType="solid">
        <fgColor rgb="FFFBC5D9"/>
        <bgColor rgb="FFFBC5D9"/>
      </patternFill>
    </fill>
    <fill>
      <patternFill patternType="solid">
        <fgColor rgb="FF999999"/>
        <bgColor rgb="FF999999"/>
      </patternFill>
    </fill>
    <fill>
      <patternFill patternType="solid">
        <fgColor rgb="FFF3F3F3"/>
        <bgColor rgb="FFF3F3F3"/>
      </patternFill>
    </fill>
  </fills>
  <borders count="7">
    <border/>
    <border>
      <bottom style="thin">
        <color rgb="FF677E8F"/>
      </bottom>
    </border>
    <border>
      <bottom style="thin">
        <color rgb="FFF6F6F6"/>
      </bottom>
    </border>
    <border>
      <left style="thin">
        <color rgb="FFF6F6F6"/>
      </left>
    </border>
    <border>
      <right style="thin">
        <color rgb="FFF6F6F6"/>
      </right>
      <bottom style="thin">
        <color rgb="FFF6F6F6"/>
      </bottom>
    </border>
    <border>
      <right style="thin">
        <color rgb="FFF6F6F6"/>
      </right>
    </border>
    <border>
      <top style="thin">
        <color rgb="FFF6F6F6"/>
      </top>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3" fontId="2" numFmtId="0" xfId="0" applyAlignment="1" applyFill="1" applyFont="1">
      <alignment horizontal="center" vertical="center"/>
    </xf>
    <xf borderId="1" fillId="4" fontId="1" numFmtId="0" xfId="0" applyAlignment="1" applyBorder="1" applyFill="1" applyFont="1">
      <alignment horizontal="center" readingOrder="0" vertical="center"/>
    </xf>
    <xf borderId="1" fillId="0" fontId="3" numFmtId="0" xfId="0" applyBorder="1" applyFont="1"/>
    <xf borderId="0" fillId="5" fontId="4" numFmtId="0" xfId="0" applyAlignment="1" applyFill="1" applyFont="1">
      <alignment horizontal="center" readingOrder="0" vertical="center"/>
    </xf>
    <xf borderId="0" fillId="2" fontId="5" numFmtId="0" xfId="0" applyAlignment="1" applyFill="1" applyFont="1">
      <alignment horizontal="right" vertical="center"/>
    </xf>
    <xf borderId="0" fillId="3" fontId="5" numFmtId="0" xfId="0" applyAlignment="1" applyFill="1" applyFont="1">
      <alignment horizontal="right" vertical="center"/>
    </xf>
    <xf borderId="1" fillId="4" fontId="6" numFmtId="0" xfId="0" applyAlignment="1" applyBorder="1" applyFill="1" applyFont="1">
      <alignment horizontal="center" readingOrder="0" vertical="center"/>
    </xf>
    <xf borderId="0" fillId="6" fontId="7" numFmtId="0" xfId="0" applyAlignment="1" applyFill="1" applyFont="1">
      <alignment horizontal="left" readingOrder="0" vertical="center"/>
    </xf>
    <xf borderId="0" fillId="2" fontId="8" numFmtId="0" xfId="0" applyAlignment="1" applyFill="1" applyFont="1">
      <alignment readingOrder="0" vertical="center"/>
    </xf>
    <xf borderId="0" fillId="7" fontId="9" numFmtId="0" xfId="0" applyAlignment="1" applyFill="1" applyFont="1">
      <alignment horizontal="center" readingOrder="0" vertical="center"/>
    </xf>
    <xf borderId="0" fillId="3" fontId="8" numFmtId="0" xfId="0" applyAlignment="1" applyFill="1" applyFont="1">
      <alignment readingOrder="0" vertical="center"/>
    </xf>
    <xf borderId="0" fillId="3" fontId="10" numFmtId="0" xfId="0" applyAlignment="1" applyFill="1" applyFont="1">
      <alignment horizontal="center" readingOrder="0" vertical="center"/>
    </xf>
    <xf borderId="1" fillId="4" fontId="11" numFmtId="0" xfId="0" applyAlignment="1" applyBorder="1" applyFill="1" applyFont="1">
      <alignment horizontal="right" readingOrder="0" vertical="center"/>
    </xf>
    <xf borderId="0" fillId="2" fontId="8" numFmtId="0" xfId="0" applyAlignment="1" applyFill="1" applyFont="1">
      <alignment horizontal="center" readingOrder="0" vertical="center"/>
    </xf>
    <xf borderId="1" fillId="4" fontId="8" numFmtId="0" xfId="0" applyAlignment="1" applyBorder="1" applyFill="1" applyFont="1">
      <alignment horizontal="left" readingOrder="0" vertical="center"/>
    </xf>
    <xf borderId="2" fillId="8" fontId="9" numFmtId="0" xfId="0" applyAlignment="1" applyBorder="1" applyFill="1" applyFont="1">
      <alignment horizontal="left" readingOrder="0" vertical="center"/>
    </xf>
    <xf borderId="0" fillId="9" fontId="12" numFmtId="0" xfId="0" applyAlignment="1" applyFill="1" applyFont="1">
      <alignment readingOrder="0" textRotation="90" vertical="center"/>
    </xf>
    <xf borderId="3" fillId="8" fontId="9" numFmtId="0" xfId="0" applyAlignment="1" applyBorder="1" applyFill="1" applyFont="1">
      <alignment readingOrder="0" vertical="center"/>
    </xf>
    <xf borderId="0" fillId="10" fontId="12" numFmtId="0" xfId="0" applyAlignment="1" applyFill="1" applyFont="1">
      <alignment readingOrder="0" textRotation="90" vertical="center"/>
    </xf>
    <xf borderId="0" fillId="11" fontId="13" numFmtId="0" xfId="0" applyAlignment="1" applyFill="1" applyFont="1">
      <alignment horizontal="center" readingOrder="0" textRotation="90" vertical="center"/>
    </xf>
    <xf borderId="0" fillId="12" fontId="14" numFmtId="0" xfId="0" applyAlignment="1" applyFill="1" applyFont="1">
      <alignment horizontal="center" readingOrder="0" textRotation="90" vertical="center"/>
    </xf>
    <xf borderId="0" fillId="13" fontId="15" numFmtId="0" xfId="0" applyAlignment="1" applyFill="1" applyFont="1">
      <alignment horizontal="center" readingOrder="0" vertical="center"/>
    </xf>
    <xf borderId="0" fillId="14" fontId="13" numFmtId="0" xfId="0" applyAlignment="1" applyFill="1" applyFont="1">
      <alignment horizontal="center" readingOrder="0" textRotation="90" vertical="center"/>
    </xf>
    <xf borderId="0" fillId="8" fontId="9" numFmtId="0" xfId="0" applyAlignment="1" applyFill="1" applyFont="1">
      <alignment horizontal="left" readingOrder="0" vertical="center"/>
    </xf>
    <xf borderId="0" fillId="11" fontId="16" numFmtId="0" xfId="0" applyAlignment="1" applyFill="1" applyFont="1">
      <alignment horizontal="center" readingOrder="0" vertical="center"/>
    </xf>
    <xf borderId="0" fillId="14" fontId="16" numFmtId="0" xfId="0" applyAlignment="1" applyFill="1" applyFont="1">
      <alignment horizontal="center" readingOrder="0" vertical="center"/>
    </xf>
    <xf borderId="0" fillId="15" fontId="17" numFmtId="0" xfId="0" applyAlignment="1" applyFill="1" applyFont="1">
      <alignment horizontal="center" readingOrder="0" textRotation="0" vertical="center"/>
    </xf>
    <xf borderId="0" fillId="16" fontId="18" numFmtId="0" xfId="0" applyAlignment="1" applyFill="1" applyFont="1">
      <alignment horizontal="center" readingOrder="0" textRotation="0" vertical="center"/>
    </xf>
    <xf borderId="3" fillId="0" fontId="3" numFmtId="0" xfId="0" applyBorder="1" applyFont="1"/>
    <xf borderId="4" fillId="8" fontId="9" numFmtId="0" xfId="0" applyAlignment="1" applyBorder="1" applyFill="1" applyFont="1">
      <alignment horizontal="left" readingOrder="0" vertical="center"/>
    </xf>
    <xf borderId="0" fillId="17" fontId="19" numFmtId="0" xfId="0" applyAlignment="1" applyFill="1" applyFont="1">
      <alignment horizontal="center" readingOrder="0" vertical="center"/>
    </xf>
    <xf borderId="0" fillId="8" fontId="9" numFmtId="0" xfId="0" applyAlignment="1" applyFill="1" applyFont="1">
      <alignment horizontal="left" readingOrder="0" shrinkToFit="0" vertical="center" wrapText="1"/>
    </xf>
    <xf borderId="0" fillId="18" fontId="20" numFmtId="0" xfId="0" applyAlignment="1" applyFill="1" applyFont="1">
      <alignment horizontal="center" readingOrder="0" vertical="center"/>
    </xf>
    <xf borderId="0" fillId="19" fontId="17" numFmtId="0" xfId="0" applyAlignment="1" applyFill="1" applyFont="1">
      <alignment horizontal="center" readingOrder="0" textRotation="0" vertical="center"/>
    </xf>
    <xf borderId="0" fillId="20" fontId="21" numFmtId="0" xfId="0" applyAlignment="1" applyFill="1" applyFont="1">
      <alignment horizontal="center" readingOrder="0" vertical="center"/>
    </xf>
    <xf borderId="5" fillId="8" fontId="9" numFmtId="0" xfId="0" applyAlignment="1" applyBorder="1" applyFill="1" applyFont="1">
      <alignment horizontal="left" readingOrder="0" vertical="center"/>
    </xf>
    <xf borderId="0" fillId="21" fontId="22" numFmtId="0" xfId="0" applyAlignment="1" applyFill="1" applyFont="1">
      <alignment horizontal="center" readingOrder="0" vertical="center"/>
    </xf>
    <xf borderId="0" fillId="22" fontId="23" numFmtId="0" xfId="0" applyAlignment="1" applyFill="1" applyFont="1">
      <alignment horizontal="center" readingOrder="0" vertical="center"/>
    </xf>
    <xf borderId="0" fillId="23" fontId="24" numFmtId="0" xfId="0" applyAlignment="1" applyFill="1" applyFont="1">
      <alignment horizontal="center" readingOrder="0" vertical="center"/>
    </xf>
    <xf borderId="0" fillId="24" fontId="25" numFmtId="0" xfId="0" applyAlignment="1" applyFill="1" applyFont="1">
      <alignment horizontal="center" readingOrder="0" vertical="center"/>
    </xf>
    <xf borderId="0" fillId="25" fontId="26" numFmtId="0" xfId="0" applyAlignment="1" applyFill="1" applyFont="1">
      <alignment horizontal="center" vertical="center"/>
    </xf>
    <xf borderId="0" fillId="26" fontId="27" numFmtId="0" xfId="0" applyAlignment="1" applyFill="1" applyFont="1">
      <alignment horizontal="center" readingOrder="0" vertical="center"/>
    </xf>
    <xf borderId="0" fillId="27" fontId="28" numFmtId="0" xfId="0" applyAlignment="1" applyFill="1" applyFont="1">
      <alignment horizontal="center" readingOrder="0" vertical="center"/>
    </xf>
    <xf borderId="0" fillId="28" fontId="29" numFmtId="0" xfId="0" applyAlignment="1" applyFill="1" applyFont="1">
      <alignment horizontal="center" readingOrder="0" vertical="center"/>
    </xf>
    <xf borderId="0" fillId="29" fontId="30" numFmtId="0" xfId="0" applyAlignment="1" applyFill="1" applyFont="1">
      <alignment horizontal="center" readingOrder="0" vertical="center"/>
    </xf>
    <xf borderId="0" fillId="30" fontId="31" numFmtId="0" xfId="0" applyAlignment="1" applyFill="1" applyFont="1">
      <alignment horizontal="center" readingOrder="0" vertical="center"/>
    </xf>
    <xf borderId="0" fillId="31" fontId="32" numFmtId="0" xfId="0" applyAlignment="1" applyFill="1" applyFont="1">
      <alignment horizontal="center" readingOrder="0" vertical="center"/>
    </xf>
    <xf borderId="0" fillId="8" fontId="9" numFmtId="0" xfId="0" applyAlignment="1" applyFill="1" applyFont="1">
      <alignment readingOrder="0" shrinkToFit="0" vertical="center" wrapText="1"/>
    </xf>
    <xf borderId="0" fillId="32" fontId="33" numFmtId="0" xfId="0" applyAlignment="1" applyFill="1" applyFont="1">
      <alignment horizontal="center" readingOrder="0" vertical="center"/>
    </xf>
    <xf borderId="0" fillId="10" fontId="34" numFmtId="0" xfId="0" applyAlignment="1" applyFill="1" applyFont="1">
      <alignment textRotation="90" vertical="center"/>
    </xf>
    <xf borderId="0" fillId="33" fontId="35" numFmtId="0" xfId="0" applyAlignment="1" applyFill="1" applyFont="1">
      <alignment horizontal="center" readingOrder="0" vertical="center"/>
    </xf>
    <xf borderId="0" fillId="4" fontId="36" numFmtId="0" xfId="0" applyAlignment="1" applyFill="1" applyFont="1">
      <alignment horizontal="center" readingOrder="0" vertical="center"/>
    </xf>
    <xf borderId="0" fillId="34" fontId="37" numFmtId="0" xfId="0" applyAlignment="1" applyFill="1" applyFont="1">
      <alignment horizontal="center" readingOrder="0" vertical="center"/>
    </xf>
    <xf borderId="0" fillId="35" fontId="38" numFmtId="0" xfId="0" applyAlignment="1" applyFill="1" applyFont="1">
      <alignment horizontal="center" vertical="center"/>
    </xf>
    <xf borderId="0" fillId="8" fontId="39" numFmtId="0" xfId="0" applyAlignment="1" applyFill="1" applyFont="1">
      <alignment horizontal="center" readingOrder="0" shrinkToFit="0" vertical="center" wrapText="1"/>
    </xf>
    <xf borderId="0" fillId="11" fontId="40" numFmtId="0" xfId="0" applyAlignment="1" applyFill="1" applyFont="1">
      <alignment horizontal="center" readingOrder="0" textRotation="90" vertical="center"/>
    </xf>
    <xf borderId="0" fillId="13" fontId="41" numFmtId="0" xfId="0" applyAlignment="1" applyFill="1" applyFont="1">
      <alignment horizontal="center" readingOrder="0" textRotation="90" vertical="center"/>
    </xf>
    <xf borderId="0" fillId="36" fontId="42" numFmtId="0" xfId="0" applyAlignment="1" applyFill="1" applyFont="1">
      <alignment horizontal="center" vertical="center"/>
    </xf>
    <xf borderId="0" fillId="37" fontId="9" numFmtId="0" xfId="0" applyAlignment="1" applyFill="1" applyFont="1">
      <alignment readingOrder="0" vertical="center"/>
    </xf>
    <xf borderId="0" fillId="8" fontId="43" numFmtId="0" xfId="0" applyAlignment="1" applyFill="1" applyFont="1">
      <alignment horizontal="center" readingOrder="0" vertical="center"/>
    </xf>
    <xf borderId="0" fillId="38" fontId="44" numFmtId="0" xfId="0" applyAlignment="1" applyFill="1" applyFont="1">
      <alignment horizontal="center" readingOrder="0" textRotation="0" vertical="center"/>
    </xf>
    <xf borderId="0" fillId="39" fontId="45" numFmtId="0" xfId="0" applyAlignment="1" applyFill="1" applyFont="1">
      <alignment horizontal="center" vertical="center"/>
    </xf>
    <xf borderId="5" fillId="0" fontId="3" numFmtId="0" xfId="0" applyBorder="1" applyFont="1"/>
    <xf borderId="0" fillId="40" fontId="46" numFmtId="0" xfId="0" applyAlignment="1" applyFill="1" applyFont="1">
      <alignment readingOrder="0" vertical="center"/>
    </xf>
    <xf borderId="0" fillId="41" fontId="2" numFmtId="0" xfId="0" applyAlignment="1" applyFill="1" applyFont="1">
      <alignment readingOrder="0" vertical="center"/>
    </xf>
    <xf borderId="0" fillId="42" fontId="47" numFmtId="0" xfId="0" applyAlignment="1" applyFill="1" applyFont="1">
      <alignment horizontal="center" readingOrder="0" textRotation="0" vertical="center"/>
    </xf>
    <xf borderId="0" fillId="41" fontId="48" numFmtId="0" xfId="0" applyAlignment="1" applyFill="1" applyFont="1">
      <alignment readingOrder="0" vertical="center"/>
    </xf>
    <xf borderId="0" fillId="41" fontId="49" numFmtId="0" xfId="0" applyAlignment="1" applyFill="1" applyFont="1">
      <alignment horizontal="center" readingOrder="0" vertical="center"/>
    </xf>
    <xf borderId="0" fillId="43" fontId="50" numFmtId="0" xfId="0" applyAlignment="1" applyFill="1" applyFont="1">
      <alignment horizontal="center" vertical="center"/>
    </xf>
    <xf borderId="0" fillId="41" fontId="9" numFmtId="0" xfId="0" applyAlignment="1" applyFill="1" applyFont="1">
      <alignment horizontal="center" readingOrder="0" vertical="center"/>
    </xf>
    <xf borderId="0" fillId="8" fontId="51" numFmtId="0" xfId="0" applyAlignment="1" applyFill="1" applyFont="1">
      <alignment horizontal="center" readingOrder="0" vertical="center"/>
    </xf>
    <xf borderId="0" fillId="44" fontId="52" numFmtId="0" xfId="0" applyAlignment="1" applyFill="1" applyFont="1">
      <alignment horizontal="center" readingOrder="0" vertical="center"/>
    </xf>
    <xf borderId="0" fillId="45" fontId="53" numFmtId="0" xfId="0" applyAlignment="1" applyFill="1" applyFont="1">
      <alignment horizontal="center" vertical="center"/>
    </xf>
    <xf borderId="0" fillId="3" fontId="54" numFmtId="0" xfId="0" applyAlignment="1" applyFill="1" applyFont="1">
      <alignment vertical="center"/>
    </xf>
    <xf borderId="0" fillId="46" fontId="55" numFmtId="0" xfId="0" applyAlignment="1" applyFill="1" applyFont="1">
      <alignment horizontal="center" vertical="center"/>
    </xf>
    <xf borderId="0" fillId="34" fontId="37" numFmtId="0" xfId="0" applyAlignment="1" applyFill="1" applyFont="1">
      <alignment horizontal="center" vertical="center"/>
    </xf>
    <xf borderId="0" fillId="9" fontId="34" numFmtId="0" xfId="0" applyAlignment="1" applyFill="1" applyFont="1">
      <alignment readingOrder="0" textRotation="90" vertical="center"/>
    </xf>
    <xf borderId="0" fillId="14" fontId="40" numFmtId="0" xfId="0" applyAlignment="1" applyFill="1" applyFont="1">
      <alignment horizontal="center" readingOrder="0" textRotation="90" vertical="center"/>
    </xf>
    <xf borderId="0" fillId="41" fontId="55" numFmtId="0" xfId="0" applyAlignment="1" applyFill="1" applyFont="1">
      <alignment vertical="center"/>
    </xf>
    <xf borderId="0" fillId="47" fontId="56" numFmtId="3" xfId="0" applyAlignment="1" applyFill="1" applyFont="1" applyNumberFormat="1">
      <alignment horizontal="center" readingOrder="0" vertical="center"/>
    </xf>
    <xf borderId="0" fillId="48" fontId="2" numFmtId="0" xfId="0" applyAlignment="1" applyFill="1" applyFont="1">
      <alignment horizontal="center" vertical="center"/>
    </xf>
    <xf borderId="0" fillId="49" fontId="56" numFmtId="3" xfId="0" applyAlignment="1" applyFill="1" applyFont="1" applyNumberFormat="1">
      <alignment horizontal="center" vertical="center"/>
    </xf>
    <xf borderId="0" fillId="50" fontId="56" numFmtId="3" xfId="0" applyAlignment="1" applyFill="1" applyFont="1" applyNumberFormat="1">
      <alignment horizontal="center" readingOrder="0" vertical="center"/>
    </xf>
    <xf borderId="0" fillId="38" fontId="46" numFmtId="3" xfId="0" applyAlignment="1" applyFill="1" applyFont="1" applyNumberFormat="1">
      <alignment horizontal="center" readingOrder="0" vertical="center"/>
    </xf>
    <xf borderId="0" fillId="51" fontId="46" numFmtId="3" xfId="0" applyAlignment="1" applyFill="1" applyFont="1" applyNumberFormat="1">
      <alignment horizontal="center" readingOrder="0" vertical="center"/>
    </xf>
    <xf borderId="0" fillId="52" fontId="46" numFmtId="3" xfId="0" applyAlignment="1" applyFill="1" applyFont="1" applyNumberFormat="1">
      <alignment horizontal="center" readingOrder="0" vertical="center"/>
    </xf>
    <xf borderId="0" fillId="53" fontId="46" numFmtId="3" xfId="0" applyAlignment="1" applyFill="1" applyFont="1" applyNumberFormat="1">
      <alignment horizontal="center" readingOrder="0" vertical="center"/>
    </xf>
    <xf borderId="0" fillId="54" fontId="46" numFmtId="3" xfId="0" applyAlignment="1" applyFill="1" applyFont="1" applyNumberFormat="1">
      <alignment horizontal="center" readingOrder="0" vertical="center"/>
    </xf>
    <xf borderId="0" fillId="55" fontId="46" numFmtId="3" xfId="0" applyAlignment="1" applyFill="1" applyFont="1" applyNumberFormat="1">
      <alignment horizontal="center" readingOrder="0" vertical="center"/>
    </xf>
    <xf borderId="0" fillId="56" fontId="57" numFmtId="3" xfId="0" applyAlignment="1" applyFill="1" applyFont="1" applyNumberFormat="1">
      <alignment horizontal="center" readingOrder="0" vertical="center"/>
    </xf>
    <xf borderId="0" fillId="48" fontId="2" numFmtId="0" xfId="0" applyAlignment="1" applyFill="1" applyFont="1">
      <alignment horizontal="center" readingOrder="0" vertical="center"/>
    </xf>
    <xf borderId="0" fillId="57" fontId="56" numFmtId="3" xfId="0" applyAlignment="1" applyFill="1" applyFont="1" applyNumberFormat="1">
      <alignment horizontal="center" vertical="center"/>
    </xf>
    <xf borderId="0" fillId="58" fontId="56" numFmtId="3" xfId="0" applyAlignment="1" applyFill="1" applyFont="1" applyNumberFormat="1">
      <alignment horizontal="center" readingOrder="0" vertical="center"/>
    </xf>
    <xf borderId="0" fillId="52" fontId="2" numFmtId="0" xfId="0" applyAlignment="1" applyFill="1" applyFont="1">
      <alignment vertical="center"/>
    </xf>
    <xf borderId="0" fillId="59" fontId="56" numFmtId="3" xfId="0" applyAlignment="1" applyFill="1" applyFont="1" applyNumberFormat="1">
      <alignment horizontal="center" vertical="center"/>
    </xf>
    <xf borderId="0" fillId="60" fontId="56" numFmtId="3" xfId="0" applyAlignment="1" applyFill="1" applyFont="1" applyNumberFormat="1">
      <alignment horizontal="center" readingOrder="0" vertical="center"/>
    </xf>
    <xf borderId="0" fillId="0" fontId="2" numFmtId="0" xfId="0" applyAlignment="1" applyFont="1">
      <alignment horizontal="center" vertical="center"/>
    </xf>
    <xf borderId="0" fillId="61" fontId="56" numFmtId="3" xfId="0" applyAlignment="1" applyFill="1" applyFont="1" applyNumberFormat="1">
      <alignment horizontal="center" vertical="center"/>
    </xf>
    <xf borderId="0" fillId="62" fontId="56" numFmtId="3" xfId="0" applyAlignment="1" applyFill="1" applyFont="1" applyNumberFormat="1">
      <alignment horizontal="center" readingOrder="0" vertical="center"/>
    </xf>
    <xf borderId="0" fillId="53" fontId="46" numFmtId="0" xfId="0" applyAlignment="1" applyFill="1" applyFont="1">
      <alignment readingOrder="0" vertical="center"/>
    </xf>
    <xf borderId="0" fillId="63" fontId="56" numFmtId="3" xfId="0" applyAlignment="1" applyFill="1" applyFont="1" applyNumberFormat="1">
      <alignment horizontal="center" vertical="center"/>
    </xf>
    <xf borderId="0" fillId="64" fontId="56" numFmtId="3" xfId="0" applyAlignment="1" applyFill="1" applyFont="1" applyNumberFormat="1">
      <alignment horizontal="center" readingOrder="0" vertical="center"/>
    </xf>
    <xf borderId="0" fillId="52" fontId="2" numFmtId="0" xfId="0" applyAlignment="1" applyFill="1" applyFont="1">
      <alignment horizontal="center" vertical="center"/>
    </xf>
    <xf borderId="0" fillId="65" fontId="56" numFmtId="3" xfId="0" applyAlignment="1" applyFill="1" applyFont="1" applyNumberFormat="1">
      <alignment horizontal="center" vertical="center"/>
    </xf>
    <xf borderId="0" fillId="66" fontId="56" numFmtId="3" xfId="0" applyAlignment="1" applyFill="1" applyFont="1" applyNumberFormat="1">
      <alignment horizontal="center" vertical="center"/>
    </xf>
    <xf borderId="0" fillId="67" fontId="56" numFmtId="3" xfId="0" applyAlignment="1" applyFill="1" applyFont="1" applyNumberFormat="1">
      <alignment horizontal="center" vertical="center"/>
    </xf>
    <xf borderId="0" fillId="41" fontId="48" numFmtId="0" xfId="0" applyAlignment="1" applyFill="1" applyFont="1">
      <alignment horizontal="center" readingOrder="0" vertical="center"/>
    </xf>
    <xf borderId="0" fillId="68" fontId="56" numFmtId="3" xfId="0" applyAlignment="1" applyFill="1" applyFont="1" applyNumberFormat="1">
      <alignment horizontal="center" vertical="center"/>
    </xf>
    <xf borderId="0" fillId="69" fontId="56" numFmtId="3" xfId="0" applyAlignment="1" applyFill="1" applyFont="1" applyNumberFormat="1">
      <alignment horizontal="center" readingOrder="0" vertical="center"/>
    </xf>
    <xf borderId="0" fillId="70" fontId="56" numFmtId="3" xfId="0" applyAlignment="1" applyFill="1" applyFont="1" applyNumberFormat="1">
      <alignment horizontal="center" vertical="center"/>
    </xf>
    <xf borderId="0" fillId="56" fontId="56" numFmtId="3" xfId="0" applyAlignment="1" applyFill="1" applyFont="1" applyNumberFormat="1">
      <alignment horizontal="center" readingOrder="0" vertical="center"/>
    </xf>
    <xf borderId="0" fillId="51" fontId="2" numFmtId="0" xfId="0" applyAlignment="1" applyFill="1" applyFont="1">
      <alignment vertical="center"/>
    </xf>
    <xf borderId="0" fillId="71" fontId="9" numFmtId="0" xfId="0" applyAlignment="1" applyFill="1" applyFont="1">
      <alignment readingOrder="0" vertical="center"/>
    </xf>
    <xf borderId="0" fillId="41" fontId="2" numFmtId="0" xfId="0" applyAlignment="1" applyFill="1" applyFont="1">
      <alignment horizontal="center" readingOrder="0" vertical="center"/>
    </xf>
    <xf borderId="0" fillId="50" fontId="58" numFmtId="3" xfId="0" applyAlignment="1" applyFill="1" applyFont="1" applyNumberFormat="1">
      <alignment horizontal="center" readingOrder="0" vertical="center"/>
    </xf>
    <xf borderId="0" fillId="38" fontId="46" numFmtId="0" xfId="0" applyAlignment="1" applyFill="1" applyFont="1">
      <alignment horizontal="center" readingOrder="0" vertical="center"/>
    </xf>
    <xf borderId="0" fillId="51" fontId="46" numFmtId="0" xfId="0" applyAlignment="1" applyFill="1" applyFont="1">
      <alignment horizontal="center" readingOrder="0" vertical="center"/>
    </xf>
    <xf borderId="0" fillId="52" fontId="46" numFmtId="0" xfId="0" applyAlignment="1" applyFill="1" applyFont="1">
      <alignment horizontal="center" readingOrder="0" vertical="center"/>
    </xf>
    <xf borderId="0" fillId="53" fontId="46" numFmtId="0" xfId="0" applyAlignment="1" applyFill="1" applyFont="1">
      <alignment horizontal="center" readingOrder="0" vertical="center"/>
    </xf>
    <xf borderId="0" fillId="54" fontId="46" numFmtId="0" xfId="0" applyAlignment="1" applyFill="1" applyFont="1">
      <alignment horizontal="center" readingOrder="0" vertical="center"/>
    </xf>
    <xf borderId="0" fillId="55" fontId="46" numFmtId="0" xfId="0" applyAlignment="1" applyFill="1" applyFont="1">
      <alignment horizontal="center" readingOrder="0" vertical="center"/>
    </xf>
    <xf borderId="0" fillId="56" fontId="57" numFmtId="0" xfId="0" applyAlignment="1" applyFill="1" applyFont="1">
      <alignment horizontal="center" readingOrder="0" vertical="center"/>
    </xf>
    <xf borderId="0" fillId="41" fontId="48" numFmtId="0" xfId="0" applyAlignment="1" applyFill="1" applyFont="1">
      <alignment horizontal="center" vertical="center"/>
    </xf>
    <xf borderId="0" fillId="47" fontId="56" numFmtId="0" xfId="0" applyAlignment="1" applyFill="1" applyFont="1">
      <alignment horizontal="center" readingOrder="0" vertical="center"/>
    </xf>
    <xf borderId="0" fillId="50" fontId="56" numFmtId="0" xfId="0" applyAlignment="1" applyFill="1" applyFont="1">
      <alignment horizontal="center" readingOrder="0" vertical="center"/>
    </xf>
    <xf borderId="0" fillId="58" fontId="56" numFmtId="0" xfId="0" applyAlignment="1" applyFill="1" applyFont="1">
      <alignment horizontal="center" readingOrder="0" vertical="center"/>
    </xf>
    <xf borderId="0" fillId="60" fontId="56" numFmtId="0" xfId="0" applyAlignment="1" applyFill="1" applyFont="1">
      <alignment horizontal="center" readingOrder="0" vertical="center"/>
    </xf>
    <xf borderId="0" fillId="62" fontId="56" numFmtId="0" xfId="0" applyAlignment="1" applyFill="1" applyFont="1">
      <alignment horizontal="center" readingOrder="0" vertical="center"/>
    </xf>
    <xf borderId="0" fillId="64" fontId="56" numFmtId="0" xfId="0" applyAlignment="1" applyFill="1" applyFont="1">
      <alignment horizontal="center" readingOrder="0" vertical="center"/>
    </xf>
    <xf borderId="0" fillId="10" fontId="34" numFmtId="0" xfId="0" applyAlignment="1" applyFill="1" applyFont="1">
      <alignment readingOrder="0" textRotation="90" vertical="center"/>
    </xf>
    <xf borderId="0" fillId="0" fontId="49" numFmtId="0" xfId="0" applyAlignment="1" applyFont="1">
      <alignment horizontal="center" readingOrder="0" vertical="center"/>
    </xf>
    <xf borderId="0" fillId="69" fontId="56" numFmtId="0" xfId="0" applyAlignment="1" applyFill="1" applyFont="1">
      <alignment horizontal="center" readingOrder="0" vertical="center"/>
    </xf>
    <xf borderId="0" fillId="41" fontId="2" numFmtId="0" xfId="0" applyAlignment="1" applyFill="1" applyFont="1">
      <alignment horizontal="center" vertical="center"/>
    </xf>
    <xf borderId="0" fillId="56" fontId="56" numFmtId="0" xfId="0" applyAlignment="1" applyFill="1" applyFont="1">
      <alignment horizontal="center" readingOrder="0" vertical="center"/>
    </xf>
    <xf borderId="0" fillId="0" fontId="48" numFmtId="0" xfId="0" applyAlignment="1" applyFont="1">
      <alignment horizontal="center" vertical="center"/>
    </xf>
    <xf borderId="0" fillId="57" fontId="56" numFmtId="0" xfId="0" applyAlignment="1" applyFill="1" applyFont="1">
      <alignment horizontal="center" vertical="center"/>
    </xf>
    <xf borderId="0" fillId="59" fontId="56" numFmtId="0" xfId="0" applyAlignment="1" applyFill="1" applyFont="1">
      <alignment horizontal="center" vertical="center"/>
    </xf>
    <xf borderId="0" fillId="61" fontId="56" numFmtId="0" xfId="0" applyAlignment="1" applyFill="1" applyFont="1">
      <alignment horizontal="center" vertical="center"/>
    </xf>
    <xf borderId="0" fillId="56" fontId="46" numFmtId="3" xfId="0" applyAlignment="1" applyFill="1" applyFont="1" applyNumberFormat="1">
      <alignment horizontal="center" readingOrder="0" vertical="center"/>
    </xf>
    <xf borderId="0" fillId="63" fontId="56" numFmtId="0" xfId="0" applyAlignment="1" applyFill="1" applyFont="1">
      <alignment horizontal="center" vertical="center"/>
    </xf>
    <xf borderId="0" fillId="65" fontId="56" numFmtId="0" xfId="0" applyAlignment="1" applyFill="1" applyFont="1">
      <alignment horizontal="center" vertical="center"/>
    </xf>
    <xf borderId="0" fillId="68" fontId="56" numFmtId="0" xfId="0" applyAlignment="1" applyFill="1" applyFont="1">
      <alignment horizontal="center" vertical="center"/>
    </xf>
    <xf borderId="0" fillId="0" fontId="49" numFmtId="0" xfId="0" applyAlignment="1" applyFont="1">
      <alignment horizontal="center" vertical="center"/>
    </xf>
    <xf borderId="0" fillId="41" fontId="2" numFmtId="0" xfId="0" applyAlignment="1" applyFill="1" applyFont="1">
      <alignment vertical="center"/>
    </xf>
    <xf borderId="0" fillId="49" fontId="49" numFmtId="3" xfId="0" applyAlignment="1" applyFill="1" applyFont="1" applyNumberFormat="1">
      <alignment horizontal="center" vertical="center"/>
    </xf>
    <xf borderId="0" fillId="57" fontId="49" numFmtId="3" xfId="0" applyAlignment="1" applyFill="1" applyFont="1" applyNumberFormat="1">
      <alignment horizontal="center" vertical="center"/>
    </xf>
    <xf borderId="0" fillId="59" fontId="49" numFmtId="3" xfId="0" applyAlignment="1" applyFill="1" applyFont="1" applyNumberFormat="1">
      <alignment horizontal="center" vertical="center"/>
    </xf>
    <xf borderId="0" fillId="56" fontId="56" numFmtId="0" xfId="0" applyAlignment="1" applyFill="1" applyFont="1">
      <alignment horizontal="center" vertical="center"/>
    </xf>
    <xf borderId="0" fillId="61" fontId="49" numFmtId="3" xfId="0" applyAlignment="1" applyFill="1" applyFont="1" applyNumberFormat="1">
      <alignment horizontal="center" vertical="center"/>
    </xf>
    <xf borderId="0" fillId="63" fontId="49" numFmtId="3" xfId="0" applyAlignment="1" applyFill="1" applyFont="1" applyNumberFormat="1">
      <alignment horizontal="center" vertical="center"/>
    </xf>
    <xf borderId="0" fillId="65" fontId="49" numFmtId="3" xfId="0" applyAlignment="1" applyFill="1" applyFont="1" applyNumberFormat="1">
      <alignment horizontal="center" vertical="center"/>
    </xf>
    <xf borderId="0" fillId="56" fontId="56" numFmtId="3" xfId="0" applyAlignment="1" applyFill="1" applyFont="1" applyNumberFormat="1">
      <alignment horizontal="center" vertical="center"/>
    </xf>
    <xf borderId="0" fillId="67" fontId="49" numFmtId="3" xfId="0" applyAlignment="1" applyFill="1" applyFont="1" applyNumberFormat="1">
      <alignment horizontal="center" vertical="center"/>
    </xf>
    <xf borderId="0" fillId="0" fontId="2" numFmtId="0" xfId="0" applyAlignment="1" applyFont="1">
      <alignment vertical="center"/>
    </xf>
    <xf borderId="0" fillId="68" fontId="49" numFmtId="3" xfId="0" applyAlignment="1" applyFill="1" applyFont="1" applyNumberFormat="1">
      <alignment horizontal="center" vertical="center"/>
    </xf>
    <xf borderId="0" fillId="57" fontId="49" numFmtId="0" xfId="0" applyAlignment="1" applyFill="1" applyFont="1">
      <alignment horizontal="center" vertical="center"/>
    </xf>
    <xf borderId="0" fillId="66" fontId="56" numFmtId="0" xfId="0" applyAlignment="1" applyFill="1" applyFont="1">
      <alignment horizontal="center" vertical="center"/>
    </xf>
    <xf borderId="0" fillId="59" fontId="49" numFmtId="0" xfId="0" applyAlignment="1" applyFill="1" applyFont="1">
      <alignment horizontal="center" vertical="center"/>
    </xf>
    <xf borderId="0" fillId="61" fontId="49" numFmtId="0" xfId="0" applyAlignment="1" applyFill="1" applyFont="1">
      <alignment horizontal="center" vertical="center"/>
    </xf>
    <xf borderId="0" fillId="63" fontId="49" numFmtId="0" xfId="0" applyAlignment="1" applyFill="1" applyFont="1">
      <alignment horizontal="center" vertical="center"/>
    </xf>
    <xf borderId="0" fillId="65" fontId="49" numFmtId="0" xfId="0" applyAlignment="1" applyFill="1" applyFont="1">
      <alignment horizontal="center" vertical="center"/>
    </xf>
    <xf borderId="0" fillId="68" fontId="49" numFmtId="0" xfId="0" applyAlignment="1" applyFill="1" applyFont="1">
      <alignment horizontal="center" vertical="center"/>
    </xf>
    <xf borderId="0" fillId="47" fontId="56" numFmtId="0" xfId="0" applyAlignment="1" applyFill="1" applyFont="1">
      <alignment horizontal="center" vertical="center"/>
    </xf>
    <xf borderId="0" fillId="50" fontId="56" numFmtId="0" xfId="0" applyAlignment="1" applyFill="1" applyFont="1">
      <alignment horizontal="center" vertical="center"/>
    </xf>
    <xf borderId="0" fillId="58" fontId="56" numFmtId="0" xfId="0" applyAlignment="1" applyFill="1" applyFont="1">
      <alignment horizontal="center" vertical="center"/>
    </xf>
    <xf borderId="0" fillId="60" fontId="56" numFmtId="0" xfId="0" applyAlignment="1" applyFill="1" applyFont="1">
      <alignment horizontal="center" vertical="center"/>
    </xf>
    <xf borderId="0" fillId="62" fontId="56" numFmtId="0" xfId="0" applyAlignment="1" applyFill="1" applyFont="1">
      <alignment horizontal="center" vertical="center"/>
    </xf>
    <xf borderId="0" fillId="64" fontId="56" numFmtId="0" xfId="0" applyAlignment="1" applyFill="1" applyFont="1">
      <alignment horizontal="center" vertical="center"/>
    </xf>
    <xf borderId="0" fillId="69" fontId="56" numFmtId="0" xfId="0" applyAlignment="1" applyFill="1" applyFont="1">
      <alignment horizontal="center" vertical="center"/>
    </xf>
    <xf borderId="0" fillId="57" fontId="49" numFmtId="0" xfId="0" applyAlignment="1" applyFill="1" applyFont="1">
      <alignment horizontal="center" vertical="center"/>
    </xf>
    <xf borderId="0" fillId="59" fontId="49" numFmtId="0" xfId="0" applyAlignment="1" applyFill="1" applyFont="1">
      <alignment horizontal="center" vertical="center"/>
    </xf>
    <xf borderId="0" fillId="61" fontId="49" numFmtId="0" xfId="0" applyAlignment="1" applyFill="1" applyFont="1">
      <alignment horizontal="center" vertical="center"/>
    </xf>
    <xf borderId="0" fillId="63" fontId="49" numFmtId="0" xfId="0" applyAlignment="1" applyFill="1" applyFont="1">
      <alignment horizontal="center" vertical="center"/>
    </xf>
    <xf borderId="0" fillId="65" fontId="49" numFmtId="0" xfId="0" applyAlignment="1" applyFill="1" applyFont="1">
      <alignment horizontal="center" vertical="center"/>
    </xf>
    <xf borderId="0" fillId="68" fontId="49" numFmtId="0" xfId="0" applyAlignment="1" applyFill="1" applyFont="1">
      <alignment horizontal="center" vertical="center"/>
    </xf>
    <xf borderId="0" fillId="47" fontId="56" numFmtId="3" xfId="0" applyAlignment="1" applyFill="1" applyFont="1" applyNumberFormat="1">
      <alignment horizontal="center" vertical="center"/>
    </xf>
    <xf borderId="0" fillId="50" fontId="56" numFmtId="3" xfId="0" applyAlignment="1" applyFill="1" applyFont="1" applyNumberFormat="1">
      <alignment horizontal="center" vertical="center"/>
    </xf>
    <xf borderId="0" fillId="58" fontId="56" numFmtId="3" xfId="0" applyAlignment="1" applyFill="1" applyFont="1" applyNumberFormat="1">
      <alignment horizontal="center" vertical="center"/>
    </xf>
    <xf borderId="0" fillId="60" fontId="56" numFmtId="3" xfId="0" applyAlignment="1" applyFill="1" applyFont="1" applyNumberFormat="1">
      <alignment horizontal="center" vertical="center"/>
    </xf>
    <xf borderId="0" fillId="62" fontId="56" numFmtId="3" xfId="0" applyAlignment="1" applyFill="1" applyFont="1" applyNumberFormat="1">
      <alignment horizontal="center" vertical="center"/>
    </xf>
    <xf borderId="0" fillId="64" fontId="56" numFmtId="3" xfId="0" applyAlignment="1" applyFill="1" applyFont="1" applyNumberFormat="1">
      <alignment horizontal="center" vertical="center"/>
    </xf>
    <xf borderId="0" fillId="69" fontId="56" numFmtId="3" xfId="0" applyAlignment="1" applyFill="1" applyFont="1" applyNumberFormat="1">
      <alignment horizontal="center" vertical="center"/>
    </xf>
    <xf borderId="0" fillId="58" fontId="59" numFmtId="3" xfId="0" applyAlignment="1" applyFill="1" applyFont="1" applyNumberFormat="1">
      <alignment horizontal="center" vertical="center"/>
    </xf>
    <xf borderId="0" fillId="4" fontId="60" numFmtId="0" xfId="0" applyAlignment="1" applyFill="1" applyFont="1">
      <alignment horizontal="center" readingOrder="0" vertical="center"/>
    </xf>
    <xf borderId="0" fillId="12" fontId="6" numFmtId="0" xfId="0" applyAlignment="1" applyFill="1" applyFont="1">
      <alignment horizontal="center" readingOrder="0" vertical="center"/>
    </xf>
    <xf borderId="0" fillId="12" fontId="6" numFmtId="0" xfId="0" applyAlignment="1" applyFill="1" applyFont="1">
      <alignment readingOrder="0" vertical="center"/>
    </xf>
    <xf borderId="0" fillId="8" fontId="49" numFmtId="0" xfId="0" applyAlignment="1" applyFill="1" applyFont="1">
      <alignment horizontal="center" readingOrder="0" vertical="center"/>
    </xf>
    <xf borderId="0" fillId="8" fontId="61" numFmtId="0" xfId="0" applyAlignment="1" applyFill="1" applyFont="1">
      <alignment readingOrder="0" shrinkToFit="0" vertical="center" wrapText="1"/>
    </xf>
    <xf borderId="0" fillId="8" fontId="62" numFmtId="0" xfId="0" applyAlignment="1" applyFill="1" applyFont="1">
      <alignment readingOrder="0" shrinkToFit="0" vertical="center" wrapText="1"/>
    </xf>
    <xf borderId="6" fillId="8" fontId="63" numFmtId="0" xfId="0" applyAlignment="1" applyBorder="1" applyFill="1" applyFont="1">
      <alignment readingOrder="0" shrinkToFit="0" vertical="center" wrapText="1"/>
    </xf>
    <xf borderId="0" fillId="8" fontId="64" numFmtId="0" xfId="0" applyAlignment="1" applyFill="1" applyFont="1">
      <alignment readingOrder="0" shrinkToFit="0" vertical="center" wrapText="1"/>
    </xf>
    <xf borderId="0" fillId="8" fontId="49" numFmtId="164" xfId="0" applyAlignment="1" applyFill="1" applyFont="1" applyNumberFormat="1">
      <alignment horizontal="center" readingOrder="0" vertical="center"/>
    </xf>
  </cellXfs>
  <cellStyles count="1">
    <cellStyle xfId="0" name="Normal" builtinId="0"/>
  </cellStyles>
  <dxfs count="69">
    <dxf>
      <font>
        <color rgb="FFAAD4E2"/>
      </font>
      <fill>
        <patternFill patternType="solid">
          <fgColor rgb="FF468DA3"/>
          <bgColor rgb="FF468DA3"/>
        </patternFill>
      </fill>
      <border/>
    </dxf>
    <dxf>
      <font>
        <color rgb="FF2E7694"/>
      </font>
      <fill>
        <patternFill patternType="solid">
          <fgColor rgb="FFA9DBF0"/>
          <bgColor rgb="FFA9DBF0"/>
        </patternFill>
      </fill>
      <border/>
    </dxf>
    <dxf>
      <font>
        <color rgb="FF538FD3"/>
      </font>
      <fill>
        <patternFill patternType="solid">
          <fgColor rgb="FFD7EDF7"/>
          <bgColor rgb="FFD7EDF7"/>
        </patternFill>
      </fill>
      <border/>
    </dxf>
    <dxf>
      <font>
        <color rgb="FF7E1B40"/>
      </font>
      <fill>
        <patternFill patternType="solid">
          <fgColor rgb="FFFFD8CF"/>
          <bgColor rgb="FFFFD8CF"/>
        </patternFill>
      </fill>
      <border/>
    </dxf>
    <dxf>
      <font>
        <color rgb="FFCC7845"/>
      </font>
      <fill>
        <patternFill patternType="solid">
          <fgColor rgb="FFFFF2EF"/>
          <bgColor rgb="FFFFF2EF"/>
        </patternFill>
      </fill>
      <border/>
    </dxf>
    <dxf>
      <font>
        <color rgb="FFA0948D"/>
      </font>
      <fill>
        <patternFill patternType="solid">
          <fgColor rgb="FFFAFAFA"/>
          <bgColor rgb="FFFAFAFA"/>
        </patternFill>
      </fill>
      <border/>
    </dxf>
    <dxf>
      <font>
        <color rgb="FFBED9D3"/>
      </font>
      <fill>
        <patternFill patternType="solid">
          <fgColor rgb="FF2A6577"/>
          <bgColor rgb="FF2A6577"/>
        </patternFill>
      </fill>
      <border/>
    </dxf>
    <dxf>
      <font>
        <color rgb="FF073B50"/>
      </font>
      <fill>
        <patternFill patternType="solid">
          <fgColor rgb="FF2E7694"/>
          <bgColor rgb="FF2E7694"/>
        </patternFill>
      </fill>
      <border/>
    </dxf>
    <dxf>
      <font>
        <color rgb="FFCC7845"/>
      </font>
      <fill>
        <patternFill patternType="solid">
          <fgColor rgb="FF538FD3"/>
          <bgColor rgb="FF538FD3"/>
        </patternFill>
      </fill>
      <border/>
    </dxf>
    <dxf>
      <font>
        <color rgb="FFCC7845"/>
      </font>
      <fill>
        <patternFill patternType="solid">
          <fgColor rgb="FF7E1B40"/>
          <bgColor rgb="FF7E1B40"/>
        </patternFill>
      </fill>
      <border/>
    </dxf>
    <dxf>
      <font>
        <color rgb="FFCC7845"/>
      </font>
      <fill>
        <patternFill patternType="solid">
          <fgColor rgb="FFCC7845"/>
          <bgColor rgb="FFCC7845"/>
        </patternFill>
      </fill>
      <border/>
    </dxf>
    <dxf>
      <font>
        <color rgb="FFC99F83"/>
      </font>
      <fill>
        <patternFill patternType="solid">
          <fgColor rgb="FFA0948D"/>
          <bgColor rgb="FFA0948D"/>
        </patternFill>
      </fill>
      <border/>
    </dxf>
    <dxf>
      <font>
        <color rgb="FFB3E3DE"/>
      </font>
      <fill>
        <patternFill patternType="solid">
          <fgColor rgb="FF468DA3"/>
          <bgColor rgb="FF468DA3"/>
        </patternFill>
      </fill>
      <border/>
    </dxf>
    <dxf>
      <font>
        <color rgb="FF073B50"/>
      </font>
      <fill>
        <patternFill patternType="solid">
          <fgColor rgb="FF77B7D0"/>
          <bgColor rgb="FF77B7D0"/>
        </patternFill>
      </fill>
      <border/>
    </dxf>
    <dxf>
      <font>
        <color rgb="FF095A7E"/>
      </font>
      <fill>
        <patternFill patternType="solid">
          <fgColor rgb="FFB3E0F4"/>
          <bgColor rgb="FFB3E0F4"/>
        </patternFill>
      </fill>
      <border/>
    </dxf>
    <dxf>
      <font>
        <color rgb="FF751E09"/>
      </font>
      <fill>
        <patternFill patternType="solid">
          <fgColor rgb="FFFFC2BF"/>
          <bgColor rgb="FFFFC2BF"/>
        </patternFill>
      </fill>
      <border/>
    </dxf>
    <dxf>
      <font>
        <color rgb="FF928890"/>
      </font>
      <fill>
        <patternFill patternType="solid">
          <fgColor rgb="FFF1ECEB"/>
          <bgColor rgb="FFF1ECEB"/>
        </patternFill>
      </fill>
      <border/>
    </dxf>
    <dxf>
      <font>
        <color rgb="FF9E5345"/>
      </font>
      <fill>
        <patternFill patternType="solid">
          <fgColor rgb="FFEED3CE"/>
          <bgColor rgb="FFEED3CE"/>
        </patternFill>
      </fill>
      <border/>
    </dxf>
    <dxf>
      <font>
        <color rgb="FFA5B8C0"/>
      </font>
      <fill>
        <patternFill patternType="solid">
          <fgColor rgb="FF414A55"/>
          <bgColor rgb="FF414A55"/>
        </patternFill>
      </fill>
      <border/>
    </dxf>
    <dxf>
      <font/>
      <fill>
        <patternFill patternType="none"/>
      </fill>
      <border/>
    </dxf>
    <dxf>
      <font>
        <color rgb="FFAF0F95"/>
      </font>
      <fill>
        <patternFill patternType="solid">
          <fgColor rgb="FFF5BDE8"/>
          <bgColor rgb="FFF5BDE8"/>
        </patternFill>
      </fill>
      <border/>
    </dxf>
    <dxf>
      <font>
        <color rgb="FFECE8F5"/>
      </font>
      <fill>
        <patternFill patternType="solid">
          <fgColor rgb="FFCD9DE7"/>
          <bgColor rgb="FFCD9DE7"/>
        </patternFill>
      </fill>
      <border/>
    </dxf>
    <dxf>
      <font>
        <color rgb="FF4C2471"/>
      </font>
      <fill>
        <patternFill patternType="solid">
          <fgColor rgb="FFBEA3D5"/>
          <bgColor rgb="FFBEA3D5"/>
        </patternFill>
      </fill>
      <border/>
    </dxf>
    <dxf>
      <font>
        <color rgb="FFD2D2DD"/>
      </font>
      <fill>
        <patternFill patternType="solid">
          <fgColor rgb="FF8183AD"/>
          <bgColor rgb="FF8183AD"/>
        </patternFill>
      </fill>
      <border/>
    </dxf>
    <dxf>
      <font>
        <color rgb="FFE2E7F1"/>
      </font>
      <fill>
        <patternFill patternType="solid">
          <fgColor rgb="FF94AEDF"/>
          <bgColor rgb="FF94AEDF"/>
        </patternFill>
      </fill>
      <border/>
    </dxf>
    <dxf>
      <font>
        <color rgb="FF3291BD"/>
      </font>
      <fill>
        <patternFill patternType="solid">
          <fgColor rgb="FFE0F4F7"/>
          <bgColor rgb="FFE0F4F7"/>
        </patternFill>
      </fill>
      <border/>
    </dxf>
    <dxf>
      <font>
        <color rgb="FF397EE7"/>
      </font>
      <fill>
        <patternFill patternType="solid">
          <fgColor rgb="FFDEE9F7"/>
          <bgColor rgb="FFDEE9F7"/>
        </patternFill>
      </fill>
      <border/>
    </dxf>
    <dxf>
      <font>
        <color rgb="FF645FDD"/>
      </font>
      <fill>
        <patternFill patternType="solid">
          <fgColor rgb="FFEDEDFC"/>
          <bgColor rgb="FFEDEDFC"/>
        </patternFill>
      </fill>
      <border/>
    </dxf>
    <dxf>
      <font>
        <color rgb="FFC74375"/>
      </font>
      <fill>
        <patternFill patternType="solid">
          <fgColor rgb="FFAF0F95"/>
          <bgColor rgb="FFAF0F95"/>
        </patternFill>
      </fill>
      <border/>
    </dxf>
    <dxf>
      <font>
        <color rgb="FFBED9D3"/>
      </font>
      <fill>
        <patternFill patternType="solid">
          <fgColor rgb="FF8F51B3"/>
          <bgColor rgb="FF8F51B3"/>
        </patternFill>
      </fill>
      <border/>
    </dxf>
    <dxf>
      <font>
        <color rgb="FF073B50"/>
      </font>
      <fill>
        <patternFill patternType="solid">
          <fgColor rgb="FF6E3F98"/>
          <bgColor rgb="FF6E3F98"/>
        </patternFill>
      </fill>
      <border/>
    </dxf>
    <dxf>
      <font>
        <color rgb="FF073B50"/>
      </font>
      <fill>
        <patternFill patternType="solid">
          <fgColor rgb="FF4549B3"/>
          <bgColor rgb="FF4549B3"/>
        </patternFill>
      </fill>
      <border/>
    </dxf>
    <dxf>
      <font>
        <color rgb="FFCC7845"/>
      </font>
      <fill>
        <patternFill patternType="solid">
          <fgColor rgb="FF4677D1"/>
          <bgColor rgb="FF4677D1"/>
        </patternFill>
      </fill>
      <border/>
    </dxf>
    <dxf>
      <font>
        <color rgb="FFCC7845"/>
      </font>
      <fill>
        <patternFill patternType="solid">
          <fgColor rgb="FF3291BD"/>
          <bgColor rgb="FF3291BD"/>
        </patternFill>
      </fill>
      <border/>
    </dxf>
    <dxf>
      <font>
        <color rgb="FFEECEDD"/>
      </font>
      <fill>
        <patternFill patternType="solid">
          <fgColor rgb="FFD65E8C"/>
          <bgColor rgb="FFD65E8C"/>
        </patternFill>
      </fill>
      <border/>
    </dxf>
    <dxf>
      <font>
        <color rgb="FFCC7845"/>
      </font>
      <fill>
        <patternFill patternType="solid">
          <fgColor rgb="FF3083E7"/>
          <bgColor rgb="FF3083E7"/>
        </patternFill>
      </fill>
      <border/>
    </dxf>
    <dxf>
      <font>
        <color rgb="FFCDB7F4"/>
      </font>
      <fill>
        <patternFill patternType="solid">
          <fgColor rgb="FF624393"/>
          <bgColor rgb="FF624393"/>
        </patternFill>
      </fill>
      <border/>
    </dxf>
    <dxf>
      <font>
        <color rgb="FFC99F83"/>
      </font>
      <fill>
        <patternFill patternType="solid">
          <fgColor rgb="FF645FDD"/>
          <bgColor rgb="FF645FDD"/>
        </patternFill>
      </fill>
      <border/>
    </dxf>
    <dxf>
      <font>
        <color rgb="FF7171FA"/>
      </font>
      <fill>
        <patternFill patternType="solid">
          <fgColor rgb="FFEDEDFF"/>
          <bgColor rgb="FFEDEDFF"/>
        </patternFill>
      </fill>
      <border/>
    </dxf>
    <dxf>
      <font>
        <color rgb="FF4226E7"/>
      </font>
      <fill>
        <patternFill patternType="solid">
          <fgColor rgb="FFC5C3F2"/>
          <bgColor rgb="FFC5C3F2"/>
        </patternFill>
      </fill>
      <border/>
    </dxf>
    <dxf>
      <font>
        <color rgb="FF02A4D3"/>
      </font>
      <fill>
        <patternFill patternType="solid">
          <fgColor rgb="FFB8EFFF"/>
          <bgColor rgb="FFB8EFFF"/>
        </patternFill>
      </fill>
      <border/>
    </dxf>
    <dxf>
      <font>
        <color rgb="FF238C96"/>
      </font>
      <fill>
        <patternFill patternType="solid">
          <fgColor rgb="FFBAF6FC"/>
          <bgColor rgb="FFBAF6FC"/>
        </patternFill>
      </fill>
      <border/>
    </dxf>
    <dxf>
      <font>
        <color rgb="FF406649"/>
      </font>
      <fill>
        <patternFill patternType="solid">
          <fgColor rgb="FFD4FFD0"/>
          <bgColor rgb="FFD4FFD0"/>
        </patternFill>
      </fill>
      <border/>
    </dxf>
    <dxf>
      <font>
        <color rgb="FFAFC3EB"/>
      </font>
      <fill>
        <patternFill patternType="solid">
          <fgColor rgb="FF6B94DF"/>
          <bgColor rgb="FF6B94DF"/>
        </patternFill>
      </fill>
      <border/>
    </dxf>
    <dxf>
      <font>
        <color rgb="FF886D19"/>
      </font>
      <fill>
        <patternFill patternType="solid">
          <fgColor rgb="FFF5E6B8"/>
          <bgColor rgb="FFF5E6B8"/>
        </patternFill>
      </fill>
      <border/>
    </dxf>
    <dxf>
      <font>
        <color rgb="FFC4C5DC"/>
      </font>
      <fill>
        <patternFill patternType="solid">
          <fgColor rgb="FF5558AA"/>
          <bgColor rgb="FF5558AA"/>
        </patternFill>
      </fill>
      <border/>
    </dxf>
    <dxf>
      <font>
        <color rgb="FFC04026"/>
      </font>
      <fill>
        <patternFill patternType="solid">
          <fgColor rgb="FFFDCAA5"/>
          <bgColor rgb="FFFDCAA5"/>
        </patternFill>
      </fill>
      <border/>
    </dxf>
    <dxf>
      <font>
        <color rgb="FFE2DCF1"/>
      </font>
      <fill>
        <patternFill patternType="solid">
          <fgColor rgb="FFC080E4"/>
          <bgColor rgb="FFC080E4"/>
        </patternFill>
      </fill>
      <border/>
    </dxf>
    <dxf>
      <font>
        <color rgb="FF9B2015"/>
      </font>
      <fill>
        <patternFill patternType="solid">
          <fgColor rgb="FFEA9790"/>
          <bgColor rgb="FFEA9790"/>
        </patternFill>
      </fill>
      <border/>
    </dxf>
    <dxf>
      <font>
        <color rgb="FF277DE7"/>
      </font>
      <fill>
        <patternFill patternType="solid">
          <fgColor rgb="FFB2CBEA"/>
          <bgColor rgb="FFB2CBEA"/>
        </patternFill>
      </fill>
      <border/>
    </dxf>
    <dxf>
      <font>
        <color rgb="FFC74375"/>
      </font>
      <fill>
        <patternFill patternType="solid">
          <fgColor rgb="FFC74375"/>
          <bgColor rgb="FFC74375"/>
        </patternFill>
      </fill>
      <border/>
    </dxf>
    <dxf>
      <font>
        <color rgb="FFE2DCF1"/>
      </font>
      <fill>
        <patternFill patternType="solid">
          <fgColor rgb="FF8F90AD"/>
          <bgColor rgb="FF8F90AD"/>
        </patternFill>
      </fill>
      <border/>
    </dxf>
    <dxf>
      <font>
        <color rgb="FFBED9D3"/>
      </font>
      <fill>
        <patternFill patternType="solid">
          <fgColor rgb="FF4D268B"/>
          <bgColor rgb="FF4D268B"/>
        </patternFill>
      </fill>
      <border/>
    </dxf>
    <dxf>
      <font>
        <color rgb="FFC5B3D5"/>
      </font>
      <fill>
        <patternFill patternType="solid">
          <fgColor rgb="FF6E3F98"/>
          <bgColor rgb="FF6E3F98"/>
        </patternFill>
      </fill>
      <border/>
    </dxf>
    <dxf>
      <font>
        <color rgb="FFBED9D3"/>
      </font>
      <fill>
        <patternFill patternType="solid">
          <fgColor rgb="FF8989F6"/>
          <bgColor rgb="FF8989F6"/>
        </patternFill>
      </fill>
      <border/>
    </dxf>
    <dxf>
      <font>
        <color rgb="FF073B50"/>
      </font>
      <fill>
        <patternFill patternType="solid">
          <fgColor rgb="FF02A4D3"/>
          <bgColor rgb="FF02A4D3"/>
        </patternFill>
      </fill>
      <border/>
    </dxf>
    <dxf>
      <font>
        <color rgb="FFCC7845"/>
      </font>
      <fill>
        <patternFill patternType="solid">
          <fgColor rgb="FF406649"/>
          <bgColor rgb="FF406649"/>
        </patternFill>
      </fill>
      <border/>
    </dxf>
    <dxf>
      <font>
        <color rgb="FFCC7845"/>
      </font>
      <fill>
        <patternFill patternType="solid">
          <fgColor rgb="FF886D19"/>
          <bgColor rgb="FF886D19"/>
        </patternFill>
      </fill>
      <border/>
    </dxf>
    <dxf>
      <font>
        <color rgb="FFCC7845"/>
      </font>
      <fill>
        <patternFill patternType="solid">
          <fgColor rgb="FFC04026"/>
          <bgColor rgb="FFC04026"/>
        </patternFill>
      </fill>
      <border/>
    </dxf>
    <dxf>
      <font>
        <color rgb="FFC99F83"/>
      </font>
      <fill>
        <patternFill patternType="solid">
          <fgColor rgb="FF9B2015"/>
          <bgColor rgb="FF9B2015"/>
        </patternFill>
      </fill>
      <border/>
    </dxf>
    <dxf>
      <font>
        <color rgb="FFE5A5A4"/>
      </font>
      <fill>
        <patternFill patternType="solid">
          <fgColor rgb="FFCE3D30"/>
          <bgColor rgb="FFCE3D30"/>
        </patternFill>
      </fill>
      <border/>
    </dxf>
    <dxf>
      <font>
        <color rgb="FFFFB7AA"/>
      </font>
      <fill>
        <patternFill patternType="solid">
          <fgColor rgb="FFF85939"/>
          <bgColor rgb="FFF85939"/>
        </patternFill>
      </fill>
      <border/>
    </dxf>
    <dxf>
      <font>
        <color rgb="FF80521C"/>
      </font>
      <fill>
        <patternFill patternType="solid">
          <fgColor rgb="FFF1C338"/>
          <bgColor rgb="FFF1C338"/>
        </patternFill>
      </fill>
      <border/>
    </dxf>
    <dxf>
      <font>
        <color rgb="FF516649"/>
      </font>
      <fill>
        <patternFill patternType="solid">
          <fgColor rgb="FF9CFF91"/>
          <bgColor rgb="FF9CFF91"/>
        </patternFill>
      </fill>
      <border/>
    </dxf>
    <dxf>
      <font>
        <color rgb="FFA7E8F1"/>
      </font>
      <fill>
        <patternFill patternType="solid">
          <fgColor rgb="FF02A4D3"/>
          <bgColor rgb="FF02A4D3"/>
        </patternFill>
      </fill>
      <border/>
    </dxf>
    <dxf>
      <font>
        <color rgb="FF3E3EFD"/>
      </font>
      <fill>
        <patternFill patternType="solid">
          <fgColor rgb="FFC2C2FF"/>
          <bgColor rgb="FFC2C2FF"/>
        </patternFill>
      </fill>
      <border/>
    </dxf>
    <dxf>
      <font>
        <color rgb="FFC4A7F7"/>
      </font>
      <fill>
        <patternFill patternType="solid">
          <fgColor rgb="FF5C3896"/>
          <bgColor rgb="FF5C3896"/>
        </patternFill>
      </fill>
      <border/>
    </dxf>
    <dxf>
      <font>
        <color rgb="FFEFBCBE"/>
      </font>
      <fill>
        <patternFill patternType="solid">
          <fgColor rgb="FFC74375"/>
          <bgColor rgb="FFC74375"/>
        </patternFill>
      </fill>
      <border/>
    </dxf>
    <dxf>
      <font>
        <color rgb="FF434343"/>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0</xdr:row>
      <xdr:rowOff>0</xdr:rowOff>
    </xdr:from>
    <xdr:ext cx="1371600" cy="1266825"/>
    <xdr:pic>
      <xdr:nvPicPr>
        <xdr:cNvPr id="0" name="image1.gif"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658225" cy="1266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8658225" cy="12668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ViscoseOCE" TargetMode="External"/><Relationship Id="rId2" Type="http://schemas.openxmlformats.org/officeDocument/2006/relationships/hyperlink" Target="http://www.youtube.com/@pinguefy" TargetMode="External"/><Relationship Id="rId3" Type="http://schemas.openxmlformats.org/officeDocument/2006/relationships/hyperlink" Target="https://www.youtube.com/@dumbasslaura" TargetMode="External"/><Relationship Id="rId4" Type="http://schemas.openxmlformats.org/officeDocument/2006/relationships/hyperlink" Target="https://www.youtube.com/@pinguefied" TargetMode="External"/><Relationship Id="rId11" Type="http://schemas.openxmlformats.org/officeDocument/2006/relationships/hyperlink" Target="https://www.youtube.com/@rawinputpodcast1" TargetMode="External"/><Relationship Id="rId10" Type="http://schemas.openxmlformats.org/officeDocument/2006/relationships/hyperlink" Target="https://discord.gg/2fT65C4FJF" TargetMode="External"/><Relationship Id="rId12" Type="http://schemas.openxmlformats.org/officeDocument/2006/relationships/drawing" Target="../drawings/drawing1.xml"/><Relationship Id="rId9" Type="http://schemas.openxmlformats.org/officeDocument/2006/relationships/hyperlink" Target="https://www.patreon.com/Viscose" TargetMode="External"/><Relationship Id="rId5" Type="http://schemas.openxmlformats.org/officeDocument/2006/relationships/hyperlink" Target="https://x.com/ViscoseOCE" TargetMode="External"/><Relationship Id="rId6" Type="http://schemas.openxmlformats.org/officeDocument/2006/relationships/hyperlink" Target="https://x.com/pinguefied" TargetMode="External"/><Relationship Id="rId7" Type="http://schemas.openxmlformats.org/officeDocument/2006/relationships/hyperlink" Target="https://www.twitch.tv/viscoseoce" TargetMode="External"/><Relationship Id="rId8" Type="http://schemas.openxmlformats.org/officeDocument/2006/relationships/hyperlink" Target="https://discord.gg/rawinpu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scord.com/channels/1325617943450619904/1379314095328591952/1395956442527174687" TargetMode="External"/><Relationship Id="rId2" Type="http://schemas.openxmlformats.org/officeDocument/2006/relationships/hyperlink" Target="https://discord.com/channels/1325617943450619904/1379314095328591952/1395954058325659681" TargetMode="External"/><Relationship Id="rId3" Type="http://schemas.openxmlformats.org/officeDocument/2006/relationships/hyperlink" Target="https://discord.com/channels/1325617943450619904/1379314095328591952/1395949320611561512" TargetMode="External"/><Relationship Id="rId4" Type="http://schemas.openxmlformats.org/officeDocument/2006/relationships/hyperlink" Target="https://discord.com/channels/1325617943450619904/1379314095328591952/1395988994407534642"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2.0"/>
    <col customWidth="1" min="3" max="9" width="12.63"/>
    <col customWidth="1" min="10" max="10" width="18.13"/>
  </cols>
  <sheetData>
    <row r="1" ht="100.5" customHeight="1">
      <c r="A1" s="6" t="s">
        <v>3</v>
      </c>
    </row>
    <row r="2" ht="10.5" customHeight="1">
      <c r="A2" s="10"/>
    </row>
    <row r="3" ht="28.5" customHeight="1">
      <c r="A3" s="12" t="s">
        <v>6</v>
      </c>
    </row>
    <row r="4" ht="12.0" customHeight="1">
      <c r="A4" s="18"/>
      <c r="B4" s="20" t="s">
        <v>8</v>
      </c>
    </row>
    <row r="5" ht="15.0" customHeight="1">
      <c r="A5" s="26"/>
      <c r="B5" s="31"/>
    </row>
    <row r="6" ht="20.25" customHeight="1">
      <c r="A6" s="32"/>
      <c r="B6" s="34" t="s">
        <v>13</v>
      </c>
    </row>
    <row r="7" ht="20.25" customHeight="1">
      <c r="A7" s="38"/>
    </row>
    <row r="8" ht="24.0" customHeight="1">
      <c r="A8" s="32"/>
      <c r="B8" s="34" t="s">
        <v>19</v>
      </c>
    </row>
    <row r="9" ht="30.0" customHeight="1">
      <c r="A9" s="38"/>
    </row>
    <row r="10" ht="20.25" customHeight="1">
      <c r="A10" s="32"/>
      <c r="B10" s="34" t="s">
        <v>21</v>
      </c>
    </row>
    <row r="11" ht="20.25" customHeight="1">
      <c r="A11" s="38"/>
    </row>
    <row r="12" ht="20.25" customHeight="1">
      <c r="A12" s="32"/>
      <c r="B12" s="34" t="s">
        <v>23</v>
      </c>
    </row>
    <row r="13" ht="20.25" customHeight="1">
      <c r="A13" s="38"/>
    </row>
    <row r="14" ht="20.25" customHeight="1">
      <c r="A14" s="32"/>
      <c r="B14" s="34" t="s">
        <v>24</v>
      </c>
    </row>
    <row r="15" ht="20.25" customHeight="1">
      <c r="A15" s="38"/>
    </row>
    <row r="16" ht="20.25" customHeight="1">
      <c r="A16" s="32"/>
      <c r="B16" s="34" t="s">
        <v>26</v>
      </c>
    </row>
    <row r="17" ht="20.25" customHeight="1">
      <c r="A17" s="38"/>
    </row>
    <row r="18" ht="30.0" customHeight="1">
      <c r="A18" s="38"/>
      <c r="B18" s="34" t="s">
        <v>28</v>
      </c>
    </row>
    <row r="19" ht="30.0" customHeight="1">
      <c r="A19" s="38"/>
      <c r="B19" s="50" t="s">
        <v>29</v>
      </c>
    </row>
    <row r="20" ht="30.0" customHeight="1">
      <c r="A20" s="38"/>
      <c r="B20" s="34" t="s">
        <v>36</v>
      </c>
    </row>
    <row r="21" ht="26.25" customHeight="1">
      <c r="A21" s="57" t="s">
        <v>38</v>
      </c>
      <c r="F21" s="57" t="s">
        <v>42</v>
      </c>
    </row>
    <row r="22" ht="26.25" customHeight="1">
      <c r="A22" s="62" t="s">
        <v>43</v>
      </c>
      <c r="F22" s="62" t="s">
        <v>43</v>
      </c>
      <c r="J22" s="65"/>
    </row>
    <row r="23" ht="26.25" customHeight="1">
      <c r="A23" s="62" t="s">
        <v>46</v>
      </c>
      <c r="F23" s="62" t="s">
        <v>46</v>
      </c>
      <c r="J23" s="65"/>
    </row>
    <row r="24" ht="26.25" customHeight="1">
      <c r="A24" s="62" t="s">
        <v>47</v>
      </c>
      <c r="F24" s="62" t="s">
        <v>47</v>
      </c>
      <c r="J24" s="65"/>
    </row>
    <row r="25" ht="26.25" customHeight="1">
      <c r="A25" s="62" t="s">
        <v>48</v>
      </c>
      <c r="F25" s="62" t="s">
        <v>49</v>
      </c>
      <c r="J25" s="65"/>
    </row>
    <row r="26" ht="25.5" customHeight="1">
      <c r="A26" s="62" t="s">
        <v>50</v>
      </c>
      <c r="F26" s="73" t="s">
        <v>52</v>
      </c>
      <c r="J26" s="65"/>
    </row>
    <row r="27" ht="25.5" customHeight="1">
      <c r="A27" s="62" t="s">
        <v>53</v>
      </c>
      <c r="F27" s="62" t="s">
        <v>54</v>
      </c>
      <c r="J27" s="65"/>
    </row>
  </sheetData>
  <mergeCells count="27">
    <mergeCell ref="A1:J1"/>
    <mergeCell ref="A2:J2"/>
    <mergeCell ref="A3:J3"/>
    <mergeCell ref="B4:J5"/>
    <mergeCell ref="B6:J7"/>
    <mergeCell ref="B8:J9"/>
    <mergeCell ref="B10:J11"/>
    <mergeCell ref="A21:E21"/>
    <mergeCell ref="A22:E22"/>
    <mergeCell ref="A23:E23"/>
    <mergeCell ref="A24:E24"/>
    <mergeCell ref="A25:E25"/>
    <mergeCell ref="A26:E26"/>
    <mergeCell ref="A27:E27"/>
    <mergeCell ref="F22:J22"/>
    <mergeCell ref="F23:J23"/>
    <mergeCell ref="F24:J24"/>
    <mergeCell ref="F25:J25"/>
    <mergeCell ref="F26:J26"/>
    <mergeCell ref="F27:J27"/>
    <mergeCell ref="B12:J13"/>
    <mergeCell ref="B14:J15"/>
    <mergeCell ref="B16:J17"/>
    <mergeCell ref="B18:J18"/>
    <mergeCell ref="B19:J19"/>
    <mergeCell ref="B20:J20"/>
    <mergeCell ref="F21:J21"/>
  </mergeCells>
  <hyperlinks>
    <hyperlink r:id="rId1" ref="A22"/>
    <hyperlink r:id="rId2" ref="F22"/>
    <hyperlink r:id="rId3" ref="A23"/>
    <hyperlink r:id="rId4" ref="F23"/>
    <hyperlink r:id="rId5" ref="A24"/>
    <hyperlink r:id="rId6" ref="F24"/>
    <hyperlink r:id="rId7" ref="A25"/>
    <hyperlink r:id="rId8" ref="F25"/>
    <hyperlink r:id="rId9" ref="A26"/>
    <hyperlink r:id="rId10" ref="A27"/>
    <hyperlink r:id="rId11" ref="F27"/>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5" width="13.63"/>
  </cols>
  <sheetData>
    <row r="1" ht="27.0" customHeight="1">
      <c r="A1" s="1" t="s">
        <v>1</v>
      </c>
      <c r="D1" s="1"/>
      <c r="E1" s="3" t="str">
        <f>brank!A1</f>
        <v>Unranked</v>
      </c>
      <c r="H1" s="7" t="str">
        <f>"Playlist Code: "</f>
        <v>Playlist Code: </v>
      </c>
      <c r="J1" s="11" t="s">
        <v>4</v>
      </c>
      <c r="M1" s="11"/>
      <c r="N1" s="16"/>
    </row>
    <row r="2" ht="25.5" customHeight="1">
      <c r="A2" s="21"/>
      <c r="B2" s="22"/>
      <c r="C2" s="27" t="s">
        <v>9</v>
      </c>
      <c r="D2" s="29">
        <f>round((sum(brank!D2:brank!D37)*100),0)</f>
        <v>0</v>
      </c>
      <c r="E2" s="27" t="str">
        <f>" High Score"</f>
        <v> High Score</v>
      </c>
      <c r="G2" s="27" t="s">
        <v>10</v>
      </c>
      <c r="H2" s="35" t="s">
        <v>11</v>
      </c>
      <c r="I2" s="39" t="s">
        <v>15</v>
      </c>
      <c r="J2" s="40" t="s">
        <v>18</v>
      </c>
      <c r="K2" s="44" t="s">
        <v>20</v>
      </c>
      <c r="L2" s="45" t="s">
        <v>30</v>
      </c>
      <c r="M2" s="46" t="s">
        <v>31</v>
      </c>
      <c r="N2" s="47" t="s">
        <v>32</v>
      </c>
      <c r="O2" s="51" t="s">
        <v>33</v>
      </c>
    </row>
    <row r="3" ht="25.5" customHeight="1">
      <c r="A3" s="52" t="s">
        <v>37</v>
      </c>
      <c r="B3" s="58" t="s">
        <v>39</v>
      </c>
      <c r="C3" s="61" t="str">
        <f>IFERROR(__xludf.DUMMYFUNCTION("importrange(""https://docs.google.com/spreadsheets/d/1k3XRRwn-mAbvb3rXIODFPrsnkgSEfh0xg1EWJICcSPo/edit?usp=sharing"",""Beginner!C3:C38"")"),"WhisphereRawControl Larger + Slowed")</f>
        <v>WhisphereRawControl Larger + Slowed</v>
      </c>
      <c r="D3" s="63" t="str">
        <f>round(brank!$D2*100,0)&amp;"%"</f>
        <v>0%</v>
      </c>
      <c r="E3" s="67"/>
      <c r="F3" s="72"/>
      <c r="G3" s="81" t="str">
        <f>IFERROR(__xludf.DUMMYFUNCTION("sparkline(
  F3 - choose(match(F3, {0, H3:O3}), 0, H3, I3, J3, K3, L3, M3, N3, O3),
  {
    ""charttype"", ""bar"";
    ""max"", choose(match(F3, {0, H3:O3}), H3, I3-H3, J3-I3, K3-J3, L3-K3, M3-L3, N3-M3, O3-N3, 0);
    ""nan"", ""ignore"";
    ""color1"""&amp;", iferror(choose(match(F3, {0, H3:O3}),
      ""#C5C3F2"",
      ""#B2CBEA"",
      ""#BAF6FC"",
      ""#6B94DF"",
      ""#5558AA"",
      ""#6e3f98"",
      ""#C080E4"",
      ""#F5BDE8"",
      ""#F5BDE8""
    ))
  }
)"),"")</f>
        <v/>
      </c>
      <c r="H3" s="84">
        <f>IFERROR(__xludf.DUMMYFUNCTION("importrange(""https://docs.google.com/spreadsheets/d/1k3XRRwn-mAbvb3rXIODFPrsnkgSEfh0xg1EWJICcSPo/edit?gid=0#gid=0"",""Beginner!D3:K38"")"),5500.0)</f>
        <v>5500</v>
      </c>
      <c r="I3" s="94">
        <f>IFERROR(__xludf.DUMMYFUNCTION("""COMPUTED_VALUE"""),6700.0)</f>
        <v>6700</v>
      </c>
      <c r="J3" s="97">
        <f>IFERROR(__xludf.DUMMYFUNCTION("""COMPUTED_VALUE"""),7800.0)</f>
        <v>7800</v>
      </c>
      <c r="K3" s="100">
        <f>IFERROR(__xludf.DUMMYFUNCTION("""COMPUTED_VALUE"""),8700.0)</f>
        <v>8700</v>
      </c>
      <c r="L3" s="103">
        <f>IFERROR(__xludf.DUMMYFUNCTION("""COMPUTED_VALUE"""),9600.0)</f>
        <v>9600</v>
      </c>
      <c r="M3" s="106">
        <f>IFERROR(__xludf.DUMMYFUNCTION("""COMPUTED_VALUE"""),10500.0)</f>
        <v>10500</v>
      </c>
      <c r="N3" s="108">
        <f>IFERROR(__xludf.DUMMYFUNCTION("""COMPUTED_VALUE"""),11400.0)</f>
        <v>11400</v>
      </c>
      <c r="O3" s="110">
        <f>IFERROR(__xludf.DUMMYFUNCTION("""COMPUTED_VALUE"""),12500.0)</f>
        <v>12500</v>
      </c>
    </row>
    <row r="4" ht="25.5" customHeight="1">
      <c r="C4" s="61" t="str">
        <f>IFERROR(__xludf.DUMMYFUNCTION("""COMPUTED_VALUE"""),"Whisphere 80%")</f>
        <v>Whisphere 80%</v>
      </c>
      <c r="D4" s="63" t="str">
        <f>round(brank!$D3*100,0)&amp;"%"</f>
        <v>0%</v>
      </c>
      <c r="E4" s="67"/>
      <c r="F4" s="72"/>
      <c r="G4" s="81" t="str">
        <f>IFERROR(__xludf.DUMMYFUNCTION("sparkline(
  F4 - choose(match(F4, {0, H4:O4}), 0, H4, I4, J4, K4, L4, M4, N4, O4),
  {
    ""charttype"", ""bar"";
    ""max"", choose(match(F4, {0, H4:O4}), H4, I4-H4, J4-I4, K4-J4, L4-K4, M4-L4, N4-M4, O4-N4, 0);
    ""nan"", ""ignore"";
    ""color1"""&amp;", iferror(choose(match(F4, {0, H4:O4}),
      ""#C5C3F2"",
      ""#B2CBEA"",
      ""#BAF6FC"",
      ""#6B94DF"",
      ""#5558AA"",
      ""#6e3f98"",
      ""#C080E4"",
      ""#F5BDE8"",
      ""#F5BDE8""
    ))
  }
)"),"")</f>
        <v/>
      </c>
      <c r="H4" s="84">
        <f>IFERROR(__xludf.DUMMYFUNCTION("""COMPUTED_VALUE"""),6300.0)</f>
        <v>6300</v>
      </c>
      <c r="I4" s="94">
        <f>IFERROR(__xludf.DUMMYFUNCTION("""COMPUTED_VALUE"""),7700.0)</f>
        <v>7700</v>
      </c>
      <c r="J4" s="97">
        <f>IFERROR(__xludf.DUMMYFUNCTION("""COMPUTED_VALUE"""),9000.0)</f>
        <v>9000</v>
      </c>
      <c r="K4" s="100">
        <f>IFERROR(__xludf.DUMMYFUNCTION("""COMPUTED_VALUE"""),10000.0)</f>
        <v>10000</v>
      </c>
      <c r="L4" s="103">
        <f>IFERROR(__xludf.DUMMYFUNCTION("""COMPUTED_VALUE"""),11000.0)</f>
        <v>11000</v>
      </c>
      <c r="M4" s="106">
        <f>IFERROR(__xludf.DUMMYFUNCTION("""COMPUTED_VALUE"""),12000.0)</f>
        <v>12000</v>
      </c>
      <c r="N4" s="108">
        <f>IFERROR(__xludf.DUMMYFUNCTION("""COMPUTED_VALUE"""),13000.0)</f>
        <v>13000</v>
      </c>
      <c r="O4" s="110">
        <f>IFERROR(__xludf.DUMMYFUNCTION("""COMPUTED_VALUE"""),14500.0)</f>
        <v>14500</v>
      </c>
    </row>
    <row r="5" ht="25.5" customHeight="1">
      <c r="C5" s="61" t="str">
        <f>IFERROR(__xludf.DUMMYFUNCTION("""COMPUTED_VALUE"""),"Smoothbot Invincible Goated 75%")</f>
        <v>Smoothbot Invincible Goated 75%</v>
      </c>
      <c r="D5" s="63" t="str">
        <f>round(brank!$D4*100,0)&amp;"%"</f>
        <v>0%</v>
      </c>
      <c r="E5" s="67"/>
      <c r="F5" s="72"/>
      <c r="G5" s="81" t="str">
        <f>IFERROR(__xludf.DUMMYFUNCTION("sparkline(
  F5 - choose(match(F5, {0, H5:O5}), 0, H5, I5, J5, K5, L5, M5, N5, O5),
  {
    ""charttype"", ""bar"";
    ""max"", choose(match(F5, {0, H5:O5}), H5, I5-H5, J5-I5, K5-J5, L5-K5, M5-L5, N5-M5, O5-N5, 0);
    ""nan"", ""ignore"";
    ""color1"""&amp;", iferror(choose(match(F5, {0, H5:O5}),
      ""#C5C3F2"",
      ""#B2CBEA"",
      ""#BAF6FC"",
      ""#6B94DF"",
      ""#5558AA"",
      ""#6e3f98"",
      ""#C080E4"",
      ""#F5BDE8"",
      ""#F5BDE8""
    ))
  }
)"),"")</f>
        <v/>
      </c>
      <c r="H5" s="84">
        <f>IFERROR(__xludf.DUMMYFUNCTION("""COMPUTED_VALUE"""),1800.0)</f>
        <v>1800</v>
      </c>
      <c r="I5" s="94">
        <f>IFERROR(__xludf.DUMMYFUNCTION("""COMPUTED_VALUE"""),2250.0)</f>
        <v>2250</v>
      </c>
      <c r="J5" s="97">
        <f>IFERROR(__xludf.DUMMYFUNCTION("""COMPUTED_VALUE"""),2650.0)</f>
        <v>2650</v>
      </c>
      <c r="K5" s="100">
        <f>IFERROR(__xludf.DUMMYFUNCTION("""COMPUTED_VALUE"""),2900.0)</f>
        <v>2900</v>
      </c>
      <c r="L5" s="103">
        <f>IFERROR(__xludf.DUMMYFUNCTION("""COMPUTED_VALUE"""),3150.0)</f>
        <v>3150</v>
      </c>
      <c r="M5" s="106">
        <f>IFERROR(__xludf.DUMMYFUNCTION("""COMPUTED_VALUE"""),3400.0)</f>
        <v>3400</v>
      </c>
      <c r="N5" s="108">
        <f>IFERROR(__xludf.DUMMYFUNCTION("""COMPUTED_VALUE"""),3650.0)</f>
        <v>3650</v>
      </c>
      <c r="O5" s="110">
        <f>IFERROR(__xludf.DUMMYFUNCTION("""COMPUTED_VALUE"""),4000.0)</f>
        <v>4000</v>
      </c>
    </row>
    <row r="6" ht="25.5" customHeight="1">
      <c r="B6" s="58" t="s">
        <v>58</v>
      </c>
      <c r="C6" s="115" t="str">
        <f>IFERROR(__xludf.DUMMYFUNCTION("""COMPUTED_VALUE"""),"Leaptrack Goated 60% Larger")</f>
        <v>Leaptrack Goated 60% Larger</v>
      </c>
      <c r="D6" s="63" t="str">
        <f>round(brank!$D5*100,0)&amp;"%"</f>
        <v>0%</v>
      </c>
      <c r="E6" s="67"/>
      <c r="F6" s="72"/>
      <c r="G6" s="81" t="str">
        <f>IFERROR(__xludf.DUMMYFUNCTION("sparkline(
  F6 - choose(match(F6, {0, H6:O6}), 0, H6, I6, J6, K6, L6, M6, N6, O6),
  {
    ""charttype"", ""bar"";
    ""max"", choose(match(F6, {0, H6:O6}), H6, I6-H6, J6-I6, K6-J6, L6-K6, M6-L6, N6-M6, O6-N6, 0);
    ""nan"", ""ignore"";
    ""color1"""&amp;", iferror(choose(match(F6, {0, H6:O6}),
      ""#C5C3F2"",
      ""#B2CBEA"",
      ""#BAF6FC"",
      ""#6B94DF"",
      ""#5558AA"",
      ""#6e3f98"",
      ""#C080E4"",
      ""#F5BDE8"",
      ""#F5BDE8""
    ))
  }
)"),"")</f>
        <v/>
      </c>
      <c r="H6" s="84">
        <f>IFERROR(__xludf.DUMMYFUNCTION("""COMPUTED_VALUE"""),850.0)</f>
        <v>850</v>
      </c>
      <c r="I6" s="94">
        <f>IFERROR(__xludf.DUMMYFUNCTION("""COMPUTED_VALUE"""),1200.0)</f>
        <v>1200</v>
      </c>
      <c r="J6" s="97">
        <f>IFERROR(__xludf.DUMMYFUNCTION("""COMPUTED_VALUE"""),1500.0)</f>
        <v>1500</v>
      </c>
      <c r="K6" s="100">
        <f>IFERROR(__xludf.DUMMYFUNCTION("""COMPUTED_VALUE"""),1700.0)</f>
        <v>1700</v>
      </c>
      <c r="L6" s="103">
        <f>IFERROR(__xludf.DUMMYFUNCTION("""COMPUTED_VALUE"""),1900.0)</f>
        <v>1900</v>
      </c>
      <c r="M6" s="106">
        <f>IFERROR(__xludf.DUMMYFUNCTION("""COMPUTED_VALUE"""),2100.0)</f>
        <v>2100</v>
      </c>
      <c r="N6" s="108">
        <f>IFERROR(__xludf.DUMMYFUNCTION("""COMPUTED_VALUE"""),2250.0)</f>
        <v>2250</v>
      </c>
      <c r="O6" s="110">
        <f>IFERROR(__xludf.DUMMYFUNCTION("""COMPUTED_VALUE"""),2450.0)</f>
        <v>2450</v>
      </c>
    </row>
    <row r="7" ht="25.5" customHeight="1">
      <c r="C7" s="115" t="str">
        <f>IFERROR(__xludf.DUMMYFUNCTION("""COMPUTED_VALUE"""),"Controlsphere rAim Easy 90%")</f>
        <v>Controlsphere rAim Easy 90%</v>
      </c>
      <c r="D7" s="63" t="str">
        <f>round(brank!$D6*100,0)&amp;"%"</f>
        <v>0%</v>
      </c>
      <c r="E7" s="116"/>
      <c r="F7" s="72"/>
      <c r="G7" s="81" t="str">
        <f>IFERROR(__xludf.DUMMYFUNCTION("sparkline(
  F7 - choose(match(F7, {0, H7:O7}), 0, H7, I7, J7, K7, L7, M7, N7, O7),
  {
    ""charttype"", ""bar"";
    ""max"", choose(match(F7, {0, H7:O7}), H7, I7-H7, J7-I7, K7-J7, L7-K7, M7-L7, N7-M7, O7-N7, 0);
    ""nan"", ""ignore"";
    ""color1"""&amp;", iferror(choose(match(F7, {0, H7:O7}),
      ""#C5C3F2"",
      ""#B2CBEA"",
      ""#BAF6FC"",
      ""#6B94DF"",
      ""#5558AA"",
      ""#6e3f98"",
      ""#C080E4"",
      ""#F5BDE8"",
      ""#F5BDE8""
    ))
  }
)"),"")</f>
        <v/>
      </c>
      <c r="H7" s="84">
        <f>IFERROR(__xludf.DUMMYFUNCTION("""COMPUTED_VALUE"""),6100.0)</f>
        <v>6100</v>
      </c>
      <c r="I7" s="94">
        <f>IFERROR(__xludf.DUMMYFUNCTION("""COMPUTED_VALUE"""),6950.0)</f>
        <v>6950</v>
      </c>
      <c r="J7" s="97">
        <f>IFERROR(__xludf.DUMMYFUNCTION("""COMPUTED_VALUE"""),7700.0)</f>
        <v>7700</v>
      </c>
      <c r="K7" s="100">
        <f>IFERROR(__xludf.DUMMYFUNCTION("""COMPUTED_VALUE"""),8400.0)</f>
        <v>8400</v>
      </c>
      <c r="L7" s="103">
        <f>IFERROR(__xludf.DUMMYFUNCTION("""COMPUTED_VALUE"""),9100.0)</f>
        <v>9100</v>
      </c>
      <c r="M7" s="106">
        <f>IFERROR(__xludf.DUMMYFUNCTION("""COMPUTED_VALUE"""),9800.0)</f>
        <v>9800</v>
      </c>
      <c r="N7" s="108">
        <f>IFERROR(__xludf.DUMMYFUNCTION("""COMPUTED_VALUE"""),10500.0)</f>
        <v>10500</v>
      </c>
      <c r="O7" s="110">
        <f>IFERROR(__xludf.DUMMYFUNCTION("""COMPUTED_VALUE"""),11500.0)</f>
        <v>11500</v>
      </c>
    </row>
    <row r="8" ht="25.5" customHeight="1">
      <c r="C8" s="115" t="str">
        <f>IFERROR(__xludf.DUMMYFUNCTION("""COMPUTED_VALUE"""),"VT Controlsphere Intermediate S5 80%")</f>
        <v>VT Controlsphere Intermediate S5 80%</v>
      </c>
      <c r="D8" s="63" t="str">
        <f>round(brank!$D7*100,0)&amp;"%"</f>
        <v>0%</v>
      </c>
      <c r="E8" s="116"/>
      <c r="F8" s="72"/>
      <c r="G8" s="81" t="str">
        <f>IFERROR(__xludf.DUMMYFUNCTION("sparkline(
  F8 - choose(match(F8, {0, H8:O8}), 0, H8, I8, J8, K8, L8, M8, N8, O8),
  {
    ""charttype"", ""bar"";
    ""max"", choose(match(F8, {0, H8:O8}), H8, I8-H8, J8-I8, K8-J8, L8-K8, M8-L8, N8-M8, O8-N8, 0);
    ""nan"", ""ignore"";
    ""color1"""&amp;", iferror(choose(match(F8, {0, H8:O8}),
      ""#C5C3F2"",
      ""#B2CBEA"",
      ""#BAF6FC"",
      ""#6B94DF"",
      ""#5558AA"",
      ""#6e3f98"",
      ""#C080E4"",
      ""#F5BDE8"",
      ""#F5BDE8""
    ))
  }
)"),"")</f>
        <v/>
      </c>
      <c r="H8" s="84">
        <f>IFERROR(__xludf.DUMMYFUNCTION("""COMPUTED_VALUE"""),1850.0)</f>
        <v>1850</v>
      </c>
      <c r="I8" s="94">
        <f>IFERROR(__xludf.DUMMYFUNCTION("""COMPUTED_VALUE"""),2300.0)</f>
        <v>2300</v>
      </c>
      <c r="J8" s="97">
        <f>IFERROR(__xludf.DUMMYFUNCTION("""COMPUTED_VALUE"""),2700.0)</f>
        <v>2700</v>
      </c>
      <c r="K8" s="100">
        <f>IFERROR(__xludf.DUMMYFUNCTION("""COMPUTED_VALUE"""),3000.0)</f>
        <v>3000</v>
      </c>
      <c r="L8" s="103">
        <f>IFERROR(__xludf.DUMMYFUNCTION("""COMPUTED_VALUE"""),3300.0)</f>
        <v>3300</v>
      </c>
      <c r="M8" s="106">
        <f>IFERROR(__xludf.DUMMYFUNCTION("""COMPUTED_VALUE"""),3600.0)</f>
        <v>3600</v>
      </c>
      <c r="N8" s="108">
        <f>IFERROR(__xludf.DUMMYFUNCTION("""COMPUTED_VALUE"""),3850.0)</f>
        <v>3850</v>
      </c>
      <c r="O8" s="110">
        <f>IFERROR(__xludf.DUMMYFUNCTION("""COMPUTED_VALUE"""),4100.0)</f>
        <v>4100</v>
      </c>
    </row>
    <row r="9" ht="25.5" customHeight="1">
      <c r="B9" s="58" t="s">
        <v>59</v>
      </c>
      <c r="C9" s="61" t="str">
        <f>IFERROR(__xludf.DUMMYFUNCTION("""COMPUTED_VALUE"""),"Air Angelic 4 Voltaic Easy 80% (Good Version)")</f>
        <v>Air Angelic 4 Voltaic Easy 80% (Good Version)</v>
      </c>
      <c r="D9" s="63" t="str">
        <f>round(brank!$D8*100,0)&amp;"%"</f>
        <v>0%</v>
      </c>
      <c r="E9" s="116"/>
      <c r="F9" s="72"/>
      <c r="G9" s="81" t="str">
        <f>IFERROR(__xludf.DUMMYFUNCTION("sparkline(
  F9 - choose(match(F9, {0, H9:O9}), 0, H9, I9, J9, K9, L9, M9, N9, O9),
  {
    ""charttype"", ""bar"";
    ""max"", choose(match(F9, {0, H9:O9}), H9, I9-H9, J9-I9, K9-J9, L9-K9, M9-L9, N9-M9, O9-N9, 0);
    ""nan"", ""ignore"";
    ""color1"""&amp;", iferror(choose(match(F9, {0, H9:O9}),
      ""#C5C3F2"",
      ""#B2CBEA"",
      ""#BAF6FC"",
      ""#6B94DF"",
      ""#5558AA"",
      ""#6e3f98"",
      ""#C080E4"",
      ""#F5BDE8"",
      ""#F5BDE8""
    ))
  }
)"),"")</f>
        <v/>
      </c>
      <c r="H9" s="84">
        <f>IFERROR(__xludf.DUMMYFUNCTION("""COMPUTED_VALUE"""),1050.0)</f>
        <v>1050</v>
      </c>
      <c r="I9" s="94">
        <f>IFERROR(__xludf.DUMMYFUNCTION("""COMPUTED_VALUE"""),1600.0)</f>
        <v>1600</v>
      </c>
      <c r="J9" s="97">
        <f>IFERROR(__xludf.DUMMYFUNCTION("""COMPUTED_VALUE"""),2000.0)</f>
        <v>2000</v>
      </c>
      <c r="K9" s="100">
        <f>IFERROR(__xludf.DUMMYFUNCTION("""COMPUTED_VALUE"""),2400.0)</f>
        <v>2400</v>
      </c>
      <c r="L9" s="103">
        <f>IFERROR(__xludf.DUMMYFUNCTION("""COMPUTED_VALUE"""),2700.0)</f>
        <v>2700</v>
      </c>
      <c r="M9" s="106">
        <f>IFERROR(__xludf.DUMMYFUNCTION("""COMPUTED_VALUE"""),3000.0)</f>
        <v>3000</v>
      </c>
      <c r="N9" s="108">
        <f>IFERROR(__xludf.DUMMYFUNCTION("""COMPUTED_VALUE"""),3300.0)</f>
        <v>3300</v>
      </c>
      <c r="O9" s="110">
        <f>IFERROR(__xludf.DUMMYFUNCTION("""COMPUTED_VALUE"""),3600.0)</f>
        <v>3600</v>
      </c>
    </row>
    <row r="10" ht="25.5" customHeight="1">
      <c r="C10" s="61" t="str">
        <f>IFERROR(__xludf.DUMMYFUNCTION("""COMPUTED_VALUE"""),"Cloverrawcontrol Easy 80% Speed")</f>
        <v>Cloverrawcontrol Easy 80% Speed</v>
      </c>
      <c r="D10" s="63" t="str">
        <f>round(brank!$D9*100,0)&amp;"%"</f>
        <v>0%</v>
      </c>
      <c r="E10" s="116"/>
      <c r="F10" s="72"/>
      <c r="G10" s="81" t="str">
        <f>IFERROR(__xludf.DUMMYFUNCTION("sparkline(
  F10 - choose(match(F10, {0, H10:O10}), 0, H10, I10, J10, K10, L10, M10, N10, O10),
  {
    ""charttype"", ""bar"";
    ""max"", choose(match(F10, {0, H10:O10}), H10, I10-H10, J10-I10, K10-J10, L10-K10, M10-L10, N10-M10, O10-N10, 0);
    ""nan"&amp;""", ""ignore"";
    ""color1"", iferror(choose(match(F10, {0, H10:O10}),
      ""#C5C3F2"",
      ""#B2CBEA"",
      ""#BAF6FC"",
      ""#6B94DF"",
      ""#5558AA"",
      ""#6e3f98"",
      ""#C080E4"",
      ""#F5BDE8"",
      ""#F5BDE8""
    ))
  }
)"),"")</f>
        <v/>
      </c>
      <c r="H10" s="84">
        <f>IFERROR(__xludf.DUMMYFUNCTION("""COMPUTED_VALUE"""),3900.0)</f>
        <v>3900</v>
      </c>
      <c r="I10" s="94">
        <f>IFERROR(__xludf.DUMMYFUNCTION("""COMPUTED_VALUE"""),4550.0)</f>
        <v>4550</v>
      </c>
      <c r="J10" s="97">
        <f>IFERROR(__xludf.DUMMYFUNCTION("""COMPUTED_VALUE"""),5200.0)</f>
        <v>5200</v>
      </c>
      <c r="K10" s="100">
        <f>IFERROR(__xludf.DUMMYFUNCTION("""COMPUTED_VALUE"""),5700.0)</f>
        <v>5700</v>
      </c>
      <c r="L10" s="103">
        <f>IFERROR(__xludf.DUMMYFUNCTION("""COMPUTED_VALUE"""),6200.0)</f>
        <v>6200</v>
      </c>
      <c r="M10" s="106">
        <f>IFERROR(__xludf.DUMMYFUNCTION("""COMPUTED_VALUE"""),6700.0)</f>
        <v>6700</v>
      </c>
      <c r="N10" s="108">
        <f>IFERROR(__xludf.DUMMYFUNCTION("""COMPUTED_VALUE"""),7200.0)</f>
        <v>7200</v>
      </c>
      <c r="O10" s="110">
        <f>IFERROR(__xludf.DUMMYFUNCTION("""COMPUTED_VALUE"""),7700.0)</f>
        <v>7700</v>
      </c>
    </row>
    <row r="11" ht="25.5" customHeight="1">
      <c r="C11" s="61" t="str">
        <f>IFERROR(__xludf.DUMMYFUNCTION("""COMPUTED_VALUE"""),"Controlsphere Far, Far Larger 90%")</f>
        <v>Controlsphere Far, Far Larger 90%</v>
      </c>
      <c r="D11" s="63" t="str">
        <f>round(brank!$D10*100,0)&amp;"%"</f>
        <v>0%</v>
      </c>
      <c r="E11" s="116"/>
      <c r="F11" s="72"/>
      <c r="G11" s="81" t="str">
        <f>IFERROR(__xludf.DUMMYFUNCTION("sparkline(
  F11 - choose(match(F11, {0, H11:O11}), 0, H11, I11, J11, K11, L11, M11, N11, O11),
  {
    ""charttype"", ""bar"";
    ""max"", choose(match(F11, {0, H11:O11}), H11, I11-H11, J11-I11, K11-J11, L11-K11, M11-L11, N11-M11, O11-N11, 0);
    ""nan"&amp;""", ""ignore"";
    ""color1"", iferror(choose(match(F11, {0, H11:O11}),
      ""#C5C3F2"",
      ""#B2CBEA"",
      ""#BAF6FC"",
      ""#6B94DF"",
      ""#5558AA"",
      ""#6e3f98"",
      ""#C080E4"",
      ""#F5BDE8"",
      ""#F5BDE8""
    ))
  }
)"),"")</f>
        <v/>
      </c>
      <c r="H11" s="84">
        <f>IFERROR(__xludf.DUMMYFUNCTION("""COMPUTED_VALUE"""),7600.0)</f>
        <v>7600</v>
      </c>
      <c r="I11" s="94">
        <f>IFERROR(__xludf.DUMMYFUNCTION("""COMPUTED_VALUE"""),8150.0)</f>
        <v>8150</v>
      </c>
      <c r="J11" s="97">
        <f>IFERROR(__xludf.DUMMYFUNCTION("""COMPUTED_VALUE"""),8700.0)</f>
        <v>8700</v>
      </c>
      <c r="K11" s="100">
        <f>IFERROR(__xludf.DUMMYFUNCTION("""COMPUTED_VALUE"""),9200.0)</f>
        <v>9200</v>
      </c>
      <c r="L11" s="103">
        <f>IFERROR(__xludf.DUMMYFUNCTION("""COMPUTED_VALUE"""),9800.0)</f>
        <v>9800</v>
      </c>
      <c r="M11" s="106">
        <f>IFERROR(__xludf.DUMMYFUNCTION("""COMPUTED_VALUE"""),10200.0)</f>
        <v>10200</v>
      </c>
      <c r="N11" s="108">
        <f>IFERROR(__xludf.DUMMYFUNCTION("""COMPUTED_VALUE"""),10900.0)</f>
        <v>10900</v>
      </c>
      <c r="O11" s="110">
        <f>IFERROR(__xludf.DUMMYFUNCTION("""COMPUTED_VALUE"""),11500.0)</f>
        <v>11500</v>
      </c>
    </row>
    <row r="12" ht="25.5" customHeight="1">
      <c r="B12" s="58" t="s">
        <v>60</v>
      </c>
      <c r="C12" s="115" t="str">
        <f>IFERROR(__xludf.DUMMYFUNCTION("""COMPUTED_VALUE"""),"PGTI Voltaic Easy 80%")</f>
        <v>PGTI Voltaic Easy 80%</v>
      </c>
      <c r="D12" s="63" t="str">
        <f>round(brank!$D11*100,0)&amp;"%"</f>
        <v>0%</v>
      </c>
      <c r="E12" s="116"/>
      <c r="F12" s="72"/>
      <c r="G12" s="81" t="str">
        <f>IFERROR(__xludf.DUMMYFUNCTION("sparkline(
  F12 - choose(match(F12, {0, H12:O12}), 0, H12, I12, J12, K12, L12, M12, N12, O12),
  {
    ""charttype"", ""bar"";
    ""max"", choose(match(F12, {0, H12:O12}), H12, I12-H12, J12-I12, K12-J12, L12-K12, M12-L12, N12-M12, O12-N12, 0);
    ""nan"&amp;""", ""ignore"";
    ""color1"", iferror(choose(match(F12, {0, H12:O12}),
      ""#C5C3F2"",
      ""#B2CBEA"",
      ""#BAF6FC"",
      ""#6B94DF"",
      ""#5558AA"",
      ""#6e3f98"",
      ""#C080E4"",
      ""#F5BDE8"",
      ""#F5BDE8""
    ))
  }
)"),"")</f>
        <v/>
      </c>
      <c r="H12" s="84">
        <f>IFERROR(__xludf.DUMMYFUNCTION("""COMPUTED_VALUE"""),350.0)</f>
        <v>350</v>
      </c>
      <c r="I12" s="94">
        <f>IFERROR(__xludf.DUMMYFUNCTION("""COMPUTED_VALUE"""),550.0)</f>
        <v>550</v>
      </c>
      <c r="J12" s="97">
        <f>IFERROR(__xludf.DUMMYFUNCTION("""COMPUTED_VALUE"""),850.0)</f>
        <v>850</v>
      </c>
      <c r="K12" s="100">
        <f>IFERROR(__xludf.DUMMYFUNCTION("""COMPUTED_VALUE"""),1100.0)</f>
        <v>1100</v>
      </c>
      <c r="L12" s="103">
        <f>IFERROR(__xludf.DUMMYFUNCTION("""COMPUTED_VALUE"""),1350.0)</f>
        <v>1350</v>
      </c>
      <c r="M12" s="106">
        <f>IFERROR(__xludf.DUMMYFUNCTION("""COMPUTED_VALUE"""),1600.0)</f>
        <v>1600</v>
      </c>
      <c r="N12" s="108">
        <f>IFERROR(__xludf.DUMMYFUNCTION("""COMPUTED_VALUE"""),1900.0)</f>
        <v>1900</v>
      </c>
      <c r="O12" s="110">
        <f>IFERROR(__xludf.DUMMYFUNCTION("""COMPUTED_VALUE"""),2250.0)</f>
        <v>2250</v>
      </c>
    </row>
    <row r="13" ht="25.5" customHeight="1">
      <c r="C13" s="115" t="str">
        <f>IFERROR(__xludf.DUMMYFUNCTION("""COMPUTED_VALUE"""),"Air CELESTIAL No UFO Easy Slowed")</f>
        <v>Air CELESTIAL No UFO Easy Slowed</v>
      </c>
      <c r="D13" s="63" t="str">
        <f>round(brank!$D12*100,0)&amp;"%"</f>
        <v>0%</v>
      </c>
      <c r="E13" s="116"/>
      <c r="F13" s="72"/>
      <c r="G13" s="81" t="str">
        <f>IFERROR(__xludf.DUMMYFUNCTION("sparkline(
  F13 - choose(match(F13, {0, H13:O13}), 0, H13, I13, J13, K13, L13, M13, N13, O13),
  {
    ""charttype"", ""bar"";
    ""max"", choose(match(F13, {0, H13:O13}), H13, I13-H13, J13-I13, K13-J13, L13-K13, M13-L13, N13-M13, O13-N13, 0);
    ""nan"&amp;""", ""ignore"";
    ""color1"", iferror(choose(match(F13, {0, H13:O13}),
      ""#C5C3F2"",
      ""#B2CBEA"",
      ""#BAF6FC"",
      ""#6B94DF"",
      ""#5558AA"",
      ""#6e3f98"",
      ""#C080E4"",
      ""#F5BDE8"",
      ""#F5BDE8""
    ))
  }
)"),"")</f>
        <v/>
      </c>
      <c r="H13" s="84">
        <f>IFERROR(__xludf.DUMMYFUNCTION("""COMPUTED_VALUE"""),820.0)</f>
        <v>820</v>
      </c>
      <c r="I13" s="94">
        <f>IFERROR(__xludf.DUMMYFUNCTION("""COMPUTED_VALUE"""),835.0)</f>
        <v>835</v>
      </c>
      <c r="J13" s="97">
        <f>IFERROR(__xludf.DUMMYFUNCTION("""COMPUTED_VALUE"""),850.0)</f>
        <v>850</v>
      </c>
      <c r="K13" s="100">
        <f>IFERROR(__xludf.DUMMYFUNCTION("""COMPUTED_VALUE"""),861.0)</f>
        <v>861</v>
      </c>
      <c r="L13" s="103">
        <f>IFERROR(__xludf.DUMMYFUNCTION("""COMPUTED_VALUE"""),870.0)</f>
        <v>870</v>
      </c>
      <c r="M13" s="106">
        <f>IFERROR(__xludf.DUMMYFUNCTION("""COMPUTED_VALUE"""),878.0)</f>
        <v>878</v>
      </c>
      <c r="N13" s="108">
        <f>IFERROR(__xludf.DUMMYFUNCTION("""COMPUTED_VALUE"""),884.0)</f>
        <v>884</v>
      </c>
      <c r="O13" s="110">
        <f>IFERROR(__xludf.DUMMYFUNCTION("""COMPUTED_VALUE"""),890.0)</f>
        <v>890</v>
      </c>
    </row>
    <row r="14" ht="25.5" customHeight="1">
      <c r="C14" s="115" t="str">
        <f>IFERROR(__xludf.DUMMYFUNCTION("""COMPUTED_VALUE"""),"Whisphere Small &amp; Slow 55%")</f>
        <v>Whisphere Small &amp; Slow 55%</v>
      </c>
      <c r="D14" s="63" t="str">
        <f>round(brank!$D13*100,0)&amp;"%"</f>
        <v>0%</v>
      </c>
      <c r="E14" s="116"/>
      <c r="F14" s="72"/>
      <c r="G14" s="81" t="str">
        <f>IFERROR(__xludf.DUMMYFUNCTION("sparkline(
  F14 - choose(match(F14, {0, H14:O14}), 0, H14, I14, J14, K14, L14, M14, N14, O14),
  {
    ""charttype"", ""bar"";
    ""max"", choose(match(F14, {0, H14:O14}), H14, I14-H14, J14-I14, K14-J14, L14-K14, M14-L14, N14-M14, O14-N14, 0);
    ""nan"&amp;""", ""ignore"";
    ""color1"", iferror(choose(match(F14, {0, H14:O14}),
      ""#C5C3F2"",
      ""#B2CBEA"",
      ""#BAF6FC"",
      ""#6B94DF"",
      ""#5558AA"",
      ""#6e3f98"",
      ""#C080E4"",
      ""#F5BDE8"",
      ""#F5BDE8""
    ))
  }
)"),"")</f>
        <v/>
      </c>
      <c r="H14" s="84">
        <f>IFERROR(__xludf.DUMMYFUNCTION("""COMPUTED_VALUE"""),6000.0)</f>
        <v>6000</v>
      </c>
      <c r="I14" s="94">
        <f>IFERROR(__xludf.DUMMYFUNCTION("""COMPUTED_VALUE"""),7500.0)</f>
        <v>7500</v>
      </c>
      <c r="J14" s="97">
        <f>IFERROR(__xludf.DUMMYFUNCTION("""COMPUTED_VALUE"""),9000.0)</f>
        <v>9000</v>
      </c>
      <c r="K14" s="100">
        <f>IFERROR(__xludf.DUMMYFUNCTION("""COMPUTED_VALUE"""),10000.0)</f>
        <v>10000</v>
      </c>
      <c r="L14" s="103">
        <f>IFERROR(__xludf.DUMMYFUNCTION("""COMPUTED_VALUE"""),10750.0)</f>
        <v>10750</v>
      </c>
      <c r="M14" s="106">
        <f>IFERROR(__xludf.DUMMYFUNCTION("""COMPUTED_VALUE"""),11500.0)</f>
        <v>11500</v>
      </c>
      <c r="N14" s="108">
        <f>IFERROR(__xludf.DUMMYFUNCTION("""COMPUTED_VALUE"""),12250.0)</f>
        <v>12250</v>
      </c>
      <c r="O14" s="110">
        <f>IFERROR(__xludf.DUMMYFUNCTION("""COMPUTED_VALUE"""),13500.0)</f>
        <v>13500</v>
      </c>
    </row>
    <row r="15" ht="25.5" customHeight="1">
      <c r="A15" s="132" t="s">
        <v>61</v>
      </c>
      <c r="B15" s="58" t="s">
        <v>62</v>
      </c>
      <c r="C15" s="61" t="str">
        <f>IFERROR(__xludf.DUMMYFUNCTION("""COMPUTED_VALUE"""),"Air Voltaic Invincible 7 Easy 80%")</f>
        <v>Air Voltaic Invincible 7 Easy 80%</v>
      </c>
      <c r="D15" s="63" t="str">
        <f>round(brank!$D14*100,0)&amp;"%"</f>
        <v>0%</v>
      </c>
      <c r="E15" s="135"/>
      <c r="F15" s="72"/>
      <c r="G15" s="81" t="str">
        <f>IFERROR(__xludf.DUMMYFUNCTION("sparkline(
  F15 - choose(match(F15, {0, H15:O15}), 0, H15, I15, J15, K15, L15, M15, N15, O15),
  {
    ""charttype"", ""bar"";
    ""max"", choose(match(F15, {0, H15:O15}), H15, I15-H15, J15-I15, K15-J15, L15-K15, M15-L15, N15-M15, O15-N15, 0);
    ""nan"&amp;""", ""ignore"";
    ""color1"", iferror(choose(match(F15, {0, H15:O15}),
      ""#C5C3F2"",
      ""#B2CBEA"",
      ""#BAF6FC"",
      ""#6B94DF"",
      ""#5558AA"",
      ""#6e3f98"",
      ""#C080E4"",
      ""#F5BDE8"",
      ""#F5BDE8""
    ))
  }
)"),"")</f>
        <v/>
      </c>
      <c r="H15" s="84">
        <f>IFERROR(__xludf.DUMMYFUNCTION("""COMPUTED_VALUE"""),750.0)</f>
        <v>750</v>
      </c>
      <c r="I15" s="94">
        <f>IFERROR(__xludf.DUMMYFUNCTION("""COMPUTED_VALUE"""),1200.0)</f>
        <v>1200</v>
      </c>
      <c r="J15" s="97">
        <f>IFERROR(__xludf.DUMMYFUNCTION("""COMPUTED_VALUE"""),1600.0)</f>
        <v>1600</v>
      </c>
      <c r="K15" s="100">
        <f>IFERROR(__xludf.DUMMYFUNCTION("""COMPUTED_VALUE"""),1900.0)</f>
        <v>1900</v>
      </c>
      <c r="L15" s="103">
        <f>IFERROR(__xludf.DUMMYFUNCTION("""COMPUTED_VALUE"""),2200.0)</f>
        <v>2200</v>
      </c>
      <c r="M15" s="106">
        <f>IFERROR(__xludf.DUMMYFUNCTION("""COMPUTED_VALUE"""),2500.0)</f>
        <v>2500</v>
      </c>
      <c r="N15" s="108">
        <f>IFERROR(__xludf.DUMMYFUNCTION("""COMPUTED_VALUE"""),2800.0)</f>
        <v>2800</v>
      </c>
      <c r="O15" s="110">
        <f>IFERROR(__xludf.DUMMYFUNCTION("""COMPUTED_VALUE"""),3200.0)</f>
        <v>3200</v>
      </c>
    </row>
    <row r="16" ht="25.5" customHeight="1">
      <c r="C16" s="61" t="str">
        <f>IFERROR(__xludf.DUMMYFUNCTION("""COMPUTED_VALUE"""),"Controlsphere OW Long Strafes 90%")</f>
        <v>Controlsphere OW Long Strafes 90%</v>
      </c>
      <c r="D16" s="63" t="str">
        <f>round(brank!$D15*100,0)&amp;"%"</f>
        <v>0%</v>
      </c>
      <c r="E16" s="135"/>
      <c r="F16" s="72"/>
      <c r="G16" s="81" t="str">
        <f>IFERROR(__xludf.DUMMYFUNCTION("sparkline(
  F16 - choose(match(F16, {0, H16:O16}), 0, H16, I16, J16, K16, L16, M16, N16, O16),
  {
    ""charttype"", ""bar"";
    ""max"", choose(match(F16, {0, H16:O16}), H16, I16-H16, J16-I16, K16-J16, L16-K16, M16-L16, N16-M16, O16-N16, 0);
    ""nan"&amp;""", ""ignore"";
    ""color1"", iferror(choose(match(F16, {0, H16:O16}),
      ""#C5C3F2"",
      ""#B2CBEA"",
      ""#BAF6FC"",
      ""#6B94DF"",
      ""#5558AA"",
      ""#6e3f98"",
      ""#C080E4"",
      ""#F5BDE8"",
      ""#F5BDE8""
    ))
  }
)"),"")</f>
        <v/>
      </c>
      <c r="H16" s="84">
        <f>IFERROR(__xludf.DUMMYFUNCTION("""COMPUTED_VALUE"""),5400.0)</f>
        <v>5400</v>
      </c>
      <c r="I16" s="94">
        <f>IFERROR(__xludf.DUMMYFUNCTION("""COMPUTED_VALUE"""),6100.0)</f>
        <v>6100</v>
      </c>
      <c r="J16" s="97">
        <f>IFERROR(__xludf.DUMMYFUNCTION("""COMPUTED_VALUE"""),6700.0)</f>
        <v>6700</v>
      </c>
      <c r="K16" s="100">
        <f>IFERROR(__xludf.DUMMYFUNCTION("""COMPUTED_VALUE"""),7200.0)</f>
        <v>7200</v>
      </c>
      <c r="L16" s="103">
        <f>IFERROR(__xludf.DUMMYFUNCTION("""COMPUTED_VALUE"""),7600.0)</f>
        <v>7600</v>
      </c>
      <c r="M16" s="106">
        <f>IFERROR(__xludf.DUMMYFUNCTION("""COMPUTED_VALUE"""),8000.0)</f>
        <v>8000</v>
      </c>
      <c r="N16" s="108">
        <f>IFERROR(__xludf.DUMMYFUNCTION("""COMPUTED_VALUE"""),8300.0)</f>
        <v>8300</v>
      </c>
      <c r="O16" s="110">
        <f>IFERROR(__xludf.DUMMYFUNCTION("""COMPUTED_VALUE"""),8700.0)</f>
        <v>8700</v>
      </c>
    </row>
    <row r="17" ht="25.5" customHeight="1">
      <c r="B17" s="58" t="s">
        <v>63</v>
      </c>
      <c r="C17" s="115" t="str">
        <f>IFERROR(__xludf.DUMMYFUNCTION("""COMPUTED_VALUE"""),"Flicker Plaza rAim Easy Less Blinks")</f>
        <v>Flicker Plaza rAim Easy Less Blinks</v>
      </c>
      <c r="D17" s="63" t="str">
        <f>round(brank!$D16*100,0)&amp;"%"</f>
        <v>0%</v>
      </c>
      <c r="E17" s="135"/>
      <c r="F17" s="72"/>
      <c r="G17" s="81" t="str">
        <f>IFERROR(__xludf.DUMMYFUNCTION("sparkline(
  F17 - choose(match(F17, {0, H17:O17}), 0, H17, I17, J17, K17, L17, M17, N17, O17),
  {
    ""charttype"", ""bar"";
    ""max"", choose(match(F17, {0, H17:O17}), H17, I17-H17, J17-I17, K17-J17, L17-K17, M17-L17, N17-M17, O17-N17, 0);
    ""nan"&amp;""", ""ignore"";
    ""color1"", iferror(choose(match(F17, {0, H17:O17}),
      ""#C5C3F2"",
      ""#B2CBEA"",
      ""#BAF6FC"",
      ""#6B94DF"",
      ""#5558AA"",
      ""#6e3f98"",
      ""#C080E4"",
      ""#F5BDE8"",
      ""#F5BDE8""
    ))
  }
)"),"")</f>
        <v/>
      </c>
      <c r="H17" s="84">
        <f>IFERROR(__xludf.DUMMYFUNCTION("""COMPUTED_VALUE"""),858.0)</f>
        <v>858</v>
      </c>
      <c r="I17" s="138">
        <f>IFERROR(__xludf.DUMMYFUNCTION("""COMPUTED_VALUE"""),871.0)</f>
        <v>871</v>
      </c>
      <c r="J17" s="139">
        <f>IFERROR(__xludf.DUMMYFUNCTION("""COMPUTED_VALUE"""),883.0)</f>
        <v>883</v>
      </c>
      <c r="K17" s="140">
        <f>IFERROR(__xludf.DUMMYFUNCTION("""COMPUTED_VALUE"""),890.0)</f>
        <v>890</v>
      </c>
      <c r="L17" s="142">
        <f>IFERROR(__xludf.DUMMYFUNCTION("""COMPUTED_VALUE"""),895.0)</f>
        <v>895</v>
      </c>
      <c r="M17" s="143">
        <f>IFERROR(__xludf.DUMMYFUNCTION("""COMPUTED_VALUE"""),900.0)</f>
        <v>900</v>
      </c>
      <c r="N17" s="108">
        <f>IFERROR(__xludf.DUMMYFUNCTION("""COMPUTED_VALUE"""),904.0)</f>
        <v>904</v>
      </c>
      <c r="O17" s="144">
        <f>IFERROR(__xludf.DUMMYFUNCTION("""COMPUTED_VALUE"""),909.0)</f>
        <v>909</v>
      </c>
    </row>
    <row r="18" ht="25.5" customHeight="1">
      <c r="C18" s="115" t="str">
        <f>IFERROR(__xludf.DUMMYFUNCTION("""COMPUTED_VALUE"""),"Polarized Hell Easy 40% Slower")</f>
        <v>Polarized Hell Easy 40% Slower</v>
      </c>
      <c r="D18" s="63" t="str">
        <f>round(brank!$D17*100,0)&amp;"%"</f>
        <v>0%</v>
      </c>
      <c r="E18" s="135"/>
      <c r="F18" s="72"/>
      <c r="G18" s="81" t="str">
        <f>IFERROR(__xludf.DUMMYFUNCTION("sparkline(
  F18 - choose(match(F18, {0, H18:O18}), 0, H18, I18, J18, K18, L18, M18, N18, O18),
  {
    ""charttype"", ""bar"";
    ""max"", choose(match(F18, {0, H18:O18}), H18, I18-H18, J18-I18, K18-J18, L18-K18, M18-L18, N18-M18, O18-N18, 0);
    ""nan"&amp;""", ""ignore"";
    ""color1"", iferror(choose(match(F18, {0, H18:O18}),
      ""#C5C3F2"",
      ""#B2CBEA"",
      ""#BAF6FC"",
      ""#6B94DF"",
      ""#5558AA"",
      ""#6e3f98"",
      ""#C080E4"",
      ""#F5BDE8"",
      ""#F5BDE8""
    ))
  }
)"),"")</f>
        <v/>
      </c>
      <c r="H18" s="84">
        <f>IFERROR(__xludf.DUMMYFUNCTION("""COMPUTED_VALUE"""),750.0)</f>
        <v>750</v>
      </c>
      <c r="I18" s="94">
        <f>IFERROR(__xludf.DUMMYFUNCTION("""COMPUTED_VALUE"""),1100.0)</f>
        <v>1100</v>
      </c>
      <c r="J18" s="97">
        <f>IFERROR(__xludf.DUMMYFUNCTION("""COMPUTED_VALUE"""),1400.0)</f>
        <v>1400</v>
      </c>
      <c r="K18" s="100">
        <f>IFERROR(__xludf.DUMMYFUNCTION("""COMPUTED_VALUE"""),1600.0)</f>
        <v>1600</v>
      </c>
      <c r="L18" s="103">
        <f>IFERROR(__xludf.DUMMYFUNCTION("""COMPUTED_VALUE"""),1800.0)</f>
        <v>1800</v>
      </c>
      <c r="M18" s="106">
        <f>IFERROR(__xludf.DUMMYFUNCTION("""COMPUTED_VALUE"""),2000.0)</f>
        <v>2000</v>
      </c>
      <c r="N18" s="108">
        <f>IFERROR(__xludf.DUMMYFUNCTION("""COMPUTED_VALUE"""),2150.0)</f>
        <v>2150</v>
      </c>
      <c r="O18" s="110">
        <f>IFERROR(__xludf.DUMMYFUNCTION("""COMPUTED_VALUE"""),2500.0)</f>
        <v>2500</v>
      </c>
    </row>
    <row r="19" ht="25.5" customHeight="1">
      <c r="B19" s="58" t="s">
        <v>64</v>
      </c>
      <c r="C19" s="61" t="str">
        <f>IFERROR(__xludf.DUMMYFUNCTION("""COMPUTED_VALUE"""),"Air Pure Intermediate Slower No UFO")</f>
        <v>Air Pure Intermediate Slower No UFO</v>
      </c>
      <c r="D19" s="63" t="str">
        <f>round(brank!$D18*100,0)&amp;"%"</f>
        <v>0%</v>
      </c>
      <c r="E19" s="135"/>
      <c r="F19" s="72"/>
      <c r="G19" s="81" t="str">
        <f>IFERROR(__xludf.DUMMYFUNCTION("sparkline(
  F19 - choose(match(F19, {0, H19:O19}), 0, H19, I19, J19, K19, L19, M19, N19, O19),
  {
    ""charttype"", ""bar"";
    ""max"", choose(match(F19, {0, H19:O19}), H19, I19-H19, J19-I19, K19-J19, L19-K19, M19-L19, N19-M19, O19-N19, 0);
    ""nan"&amp;""", ""ignore"";
    ""color1"", iferror(choose(match(F19, {0, H19:O19}),
      ""#C5C3F2"",
      ""#B2CBEA"",
      ""#BAF6FC"",
      ""#6B94DF"",
      ""#5558AA"",
      ""#6e3f98"",
      ""#C080E4"",
      ""#F5BDE8"",
      ""#F5BDE8""
    ))
  }
)"),"")</f>
        <v/>
      </c>
      <c r="H19" s="84">
        <f>IFERROR(__xludf.DUMMYFUNCTION("""COMPUTED_VALUE"""),860.0)</f>
        <v>860</v>
      </c>
      <c r="I19" s="138">
        <f>IFERROR(__xludf.DUMMYFUNCTION("""COMPUTED_VALUE"""),874.0)</f>
        <v>874</v>
      </c>
      <c r="J19" s="139">
        <f>IFERROR(__xludf.DUMMYFUNCTION("""COMPUTED_VALUE"""),886.0)</f>
        <v>886</v>
      </c>
      <c r="K19" s="140">
        <f>IFERROR(__xludf.DUMMYFUNCTION("""COMPUTED_VALUE"""),893.0)</f>
        <v>893</v>
      </c>
      <c r="L19" s="142">
        <f>IFERROR(__xludf.DUMMYFUNCTION("""COMPUTED_VALUE"""),901.0)</f>
        <v>901</v>
      </c>
      <c r="M19" s="143">
        <f>IFERROR(__xludf.DUMMYFUNCTION("""COMPUTED_VALUE"""),907.0)</f>
        <v>907</v>
      </c>
      <c r="N19" s="108">
        <f>IFERROR(__xludf.DUMMYFUNCTION("""COMPUTED_VALUE"""),911.0)</f>
        <v>911</v>
      </c>
      <c r="O19" s="144">
        <f>IFERROR(__xludf.DUMMYFUNCTION("""COMPUTED_VALUE"""),916.0)</f>
        <v>916</v>
      </c>
    </row>
    <row r="20" ht="25.5" customHeight="1">
      <c r="C20" s="61" t="str">
        <f>IFERROR(__xludf.DUMMYFUNCTION("""COMPUTED_VALUE"""),"Air Voltaic Easy Invincible 4 80%")</f>
        <v>Air Voltaic Easy Invincible 4 80%</v>
      </c>
      <c r="D20" s="63" t="str">
        <f>round(brank!$D19*100,0)&amp;"%"</f>
        <v>0%</v>
      </c>
      <c r="E20" s="135"/>
      <c r="F20" s="72"/>
      <c r="G20" s="81" t="str">
        <f>IFERROR(__xludf.DUMMYFUNCTION("sparkline(
  F20 - choose(match(F20, {0, H20:O20}), 0, H20, I20, J20, K20, L20, M20, N20, O20),
  {
    ""charttype"", ""bar"";
    ""max"", choose(match(F20, {0, H20:O20}), H20, I20-H20, J20-I20, K20-J20, L20-K20, M20-L20, N20-M20, O20-N20, 0);
    ""nan"&amp;""", ""ignore"";
    ""color1"", iferror(choose(match(F20, {0, H20:O20}),
      ""#C5C3F2"",
      ""#B2CBEA"",
      ""#BAF6FC"",
      ""#6B94DF"",
      ""#5558AA"",
      ""#6e3f98"",
      ""#C080E4"",
      ""#F5BDE8"",
      ""#F5BDE8""
    ))
  }
)"),"")</f>
        <v/>
      </c>
      <c r="H20" s="84">
        <f>IFERROR(__xludf.DUMMYFUNCTION("""COMPUTED_VALUE"""),1100.0)</f>
        <v>1100</v>
      </c>
      <c r="I20" s="94">
        <f>IFERROR(__xludf.DUMMYFUNCTION("""COMPUTED_VALUE"""),1600.0)</f>
        <v>1600</v>
      </c>
      <c r="J20" s="97">
        <f>IFERROR(__xludf.DUMMYFUNCTION("""COMPUTED_VALUE"""),2100.0)</f>
        <v>2100</v>
      </c>
      <c r="K20" s="100">
        <f>IFERROR(__xludf.DUMMYFUNCTION("""COMPUTED_VALUE"""),2450.0)</f>
        <v>2450</v>
      </c>
      <c r="L20" s="103">
        <f>IFERROR(__xludf.DUMMYFUNCTION("""COMPUTED_VALUE"""),2800.0)</f>
        <v>2800</v>
      </c>
      <c r="M20" s="106">
        <f>IFERROR(__xludf.DUMMYFUNCTION("""COMPUTED_VALUE"""),3150.0)</f>
        <v>3150</v>
      </c>
      <c r="N20" s="108">
        <f>IFERROR(__xludf.DUMMYFUNCTION("""COMPUTED_VALUE"""),3400.0)</f>
        <v>3400</v>
      </c>
      <c r="O20" s="110">
        <f>IFERROR(__xludf.DUMMYFUNCTION("""COMPUTED_VALUE"""),3800.0)</f>
        <v>3800</v>
      </c>
    </row>
    <row r="21" ht="25.5" customHeight="1">
      <c r="A21" s="132" t="s">
        <v>65</v>
      </c>
      <c r="B21" s="58" t="s">
        <v>63</v>
      </c>
      <c r="C21" s="115" t="str">
        <f>IFERROR(__xludf.DUMMYFUNCTION("""COMPUTED_VALUE"""),"Pokeball Frenzy Auto TE Wide")</f>
        <v>Pokeball Frenzy Auto TE Wide</v>
      </c>
      <c r="D21" s="63" t="str">
        <f>round(brank!$D20*100,0)&amp;"%"</f>
        <v>0%</v>
      </c>
      <c r="E21" s="146"/>
      <c r="F21" s="72"/>
      <c r="G21" s="81" t="str">
        <f>IFERROR(__xludf.DUMMYFUNCTION("sparkline(
  F21 - choose(match(F21, {0, H21:O21}), 0, H21, I21, J21, K21, L21, M21, N21, O21),
  {
    ""charttype"", ""bar"";
    ""max"", choose(match(F21, {0, H21:O21}), H21, I21-H21, J21-I21, K21-J21, L21-K21, M21-L21, N21-M21, O21-N21, 0);
    ""nan"&amp;""", ""ignore"";
    ""color1"", iferror(choose(match(F21, {0, H21:O21}),
      ""#C5C3F2"",
      ""#B2CBEA"",
      ""#BAF6FC"",
      ""#6B94DF"",
      ""#5558AA"",
      ""#6e3f98"",
      ""#C080E4"",
      ""#F5BDE8"",
      ""#F5BDE8""
    ))
  }
)"),"")</f>
        <v/>
      </c>
      <c r="H21" s="147">
        <f>IFERROR(__xludf.DUMMYFUNCTION("""COMPUTED_VALUE"""),650.0)</f>
        <v>650</v>
      </c>
      <c r="I21" s="148">
        <f>IFERROR(__xludf.DUMMYFUNCTION("""COMPUTED_VALUE"""),950.0)</f>
        <v>950</v>
      </c>
      <c r="J21" s="149">
        <f>IFERROR(__xludf.DUMMYFUNCTION("""COMPUTED_VALUE"""),1250.0)</f>
        <v>1250</v>
      </c>
      <c r="K21" s="151">
        <f>IFERROR(__xludf.DUMMYFUNCTION("""COMPUTED_VALUE"""),1500.0)</f>
        <v>1500</v>
      </c>
      <c r="L21" s="152">
        <f>IFERROR(__xludf.DUMMYFUNCTION("""COMPUTED_VALUE"""),1750.0)</f>
        <v>1750</v>
      </c>
      <c r="M21" s="153">
        <f>IFERROR(__xludf.DUMMYFUNCTION("""COMPUTED_VALUE"""),2000.0)</f>
        <v>2000</v>
      </c>
      <c r="N21" s="155">
        <f>IFERROR(__xludf.DUMMYFUNCTION("""COMPUTED_VALUE"""),2300.0)</f>
        <v>2300</v>
      </c>
      <c r="O21" s="157">
        <f>IFERROR(__xludf.DUMMYFUNCTION("""COMPUTED_VALUE"""),2700.0)</f>
        <v>2700</v>
      </c>
    </row>
    <row r="22" ht="25.5" customHeight="1">
      <c r="C22" s="115" t="str">
        <f>IFERROR(__xludf.DUMMYFUNCTION("""COMPUTED_VALUE"""),"1w3ts Reload Larger")</f>
        <v>1w3ts Reload Larger</v>
      </c>
      <c r="D22" s="63" t="str">
        <f>round(brank!$D21*100,0)&amp;"%"</f>
        <v>0%</v>
      </c>
      <c r="E22" s="146"/>
      <c r="F22" s="72"/>
      <c r="G22" s="81" t="str">
        <f>IFERROR(__xludf.DUMMYFUNCTION("sparkline(
  F22 - choose(match(F22, {0, H22:O22}), 0, H22, I22, J22, K22, L22, M22, N22, O22),
  {
    ""charttype"", ""bar"";
    ""max"", choose(match(F22, {0, H22:O22}), H22, I22-H22, J22-I22, K22-J22, L22-K22, M22-L22, N22-M22, O22-N22, 0);
    ""nan"&amp;""", ""ignore"";
    ""color1"", iferror(choose(match(F22, {0, H22:O22}),
      ""#C5C3F2"",
      ""#B2CBEA"",
      ""#BAF6FC"",
      ""#6B94DF"",
      ""#5558AA"",
      ""#6e3f98"",
      ""#C080E4"",
      ""#F5BDE8"",
      ""#F5BDE8""
    ))
  }
)"),"")</f>
        <v/>
      </c>
      <c r="H22" s="147">
        <f>IFERROR(__xludf.DUMMYFUNCTION("""COMPUTED_VALUE"""),36.0)</f>
        <v>36</v>
      </c>
      <c r="I22" s="158">
        <f>IFERROR(__xludf.DUMMYFUNCTION("""COMPUTED_VALUE"""),43.0)</f>
        <v>43</v>
      </c>
      <c r="J22" s="160">
        <f>IFERROR(__xludf.DUMMYFUNCTION("""COMPUTED_VALUE"""),50.0)</f>
        <v>50</v>
      </c>
      <c r="K22" s="161">
        <f>IFERROR(__xludf.DUMMYFUNCTION("""COMPUTED_VALUE"""),58.0)</f>
        <v>58</v>
      </c>
      <c r="L22" s="162">
        <f>IFERROR(__xludf.DUMMYFUNCTION("""COMPUTED_VALUE"""),70.0)</f>
        <v>70</v>
      </c>
      <c r="M22" s="163">
        <f>IFERROR(__xludf.DUMMYFUNCTION("""COMPUTED_VALUE"""),82.0)</f>
        <v>82</v>
      </c>
      <c r="N22" s="155">
        <f>IFERROR(__xludf.DUMMYFUNCTION("""COMPUTED_VALUE"""),92.0)</f>
        <v>92</v>
      </c>
      <c r="O22" s="164">
        <f>IFERROR(__xludf.DUMMYFUNCTION("""COMPUTED_VALUE"""),102.0)</f>
        <v>102</v>
      </c>
    </row>
    <row r="23" ht="25.5" customHeight="1">
      <c r="C23" s="115" t="str">
        <f>IFERROR(__xludf.DUMMYFUNCTION("""COMPUTED_VALUE"""),"voxTargetSwitch 2 Large")</f>
        <v>voxTargetSwitch 2 Large</v>
      </c>
      <c r="D23" s="63" t="str">
        <f>round(brank!$D22*100,0)&amp;"%"</f>
        <v>0%</v>
      </c>
      <c r="E23" s="146"/>
      <c r="F23" s="72"/>
      <c r="G23" s="81" t="str">
        <f>IFERROR(__xludf.DUMMYFUNCTION("sparkline(
  F23 - choose(match(F23, {0, H23:O23}), 0, H23, I23, J23, K23, L23, M23, N23, O23),
  {
    ""charttype"", ""bar"";
    ""max"", choose(match(F23, {0, H23:O23}), H23, I23-H23, J23-I23, K23-J23, L23-K23, M23-L23, N23-M23, O23-N23, 0);
    ""nan"&amp;""", ""ignore"";
    ""color1"", iferror(choose(match(F23, {0, H23:O23}),
      ""#C5C3F2"",
      ""#B2CBEA"",
      ""#BAF6FC"",
      ""#6B94DF"",
      ""#5558AA"",
      ""#6e3f98"",
      ""#C080E4"",
      ""#F5BDE8"",
      ""#F5BDE8""
    ))
  }
)"),"")</f>
        <v/>
      </c>
      <c r="H23" s="147">
        <f>IFERROR(__xludf.DUMMYFUNCTION("""COMPUTED_VALUE"""),67.0)</f>
        <v>67</v>
      </c>
      <c r="I23" s="158">
        <f>IFERROR(__xludf.DUMMYFUNCTION("""COMPUTED_VALUE"""),78.0)</f>
        <v>78</v>
      </c>
      <c r="J23" s="160">
        <f>IFERROR(__xludf.DUMMYFUNCTION("""COMPUTED_VALUE"""),87.0)</f>
        <v>87</v>
      </c>
      <c r="K23" s="161">
        <f>IFERROR(__xludf.DUMMYFUNCTION("""COMPUTED_VALUE"""),95.0)</f>
        <v>95</v>
      </c>
      <c r="L23" s="162">
        <f>IFERROR(__xludf.DUMMYFUNCTION("""COMPUTED_VALUE"""),103.0)</f>
        <v>103</v>
      </c>
      <c r="M23" s="163">
        <f>IFERROR(__xludf.DUMMYFUNCTION("""COMPUTED_VALUE"""),110.0)</f>
        <v>110</v>
      </c>
      <c r="N23" s="155">
        <f>IFERROR(__xludf.DUMMYFUNCTION("""COMPUTED_VALUE"""),117.0)</f>
        <v>117</v>
      </c>
      <c r="O23" s="164">
        <f>IFERROR(__xludf.DUMMYFUNCTION("""COMPUTED_VALUE"""),123.0)</f>
        <v>123</v>
      </c>
    </row>
    <row r="24" ht="25.5" customHeight="1">
      <c r="B24" s="58" t="s">
        <v>66</v>
      </c>
      <c r="C24" s="61" t="str">
        <f>IFERROR(__xludf.DUMMYFUNCTION("""COMPUTED_VALUE"""),"BeanTS Larger")</f>
        <v>BeanTS Larger</v>
      </c>
      <c r="D24" s="63" t="str">
        <f>round(brank!$D23*100,0)&amp;"%"</f>
        <v>0%</v>
      </c>
      <c r="E24" s="146"/>
      <c r="F24" s="72"/>
      <c r="G24" s="81" t="str">
        <f>IFERROR(__xludf.DUMMYFUNCTION("sparkline(
  F24 - choose(match(F24, {0, H24:O24}), 0, H24, I24, J24, K24, L24, M24, N24, O24),
  {
    ""charttype"", ""bar"";
    ""max"", choose(match(F24, {0, H24:O24}), H24, I24-H24, J24-I24, K24-J24, L24-K24, M24-L24, N24-M24, O24-N24, 0);
    ""nan"&amp;""", ""ignore"";
    ""color1"", iferror(choose(match(F24, {0, H24:O24}),
      ""#C5C3F2"",
      ""#B2CBEA"",
      ""#BAF6FC"",
      ""#6B94DF"",
      ""#5558AA"",
      ""#6e3f98"",
      ""#C080E4"",
      ""#F5BDE8"",
      ""#F5BDE8""
    ))
  }
)"),"")</f>
        <v/>
      </c>
      <c r="H24" s="147">
        <f>IFERROR(__xludf.DUMMYFUNCTION("""COMPUTED_VALUE"""),65.0)</f>
        <v>65</v>
      </c>
      <c r="I24" s="172">
        <f>IFERROR(__xludf.DUMMYFUNCTION("""COMPUTED_VALUE"""),78.0)</f>
        <v>78</v>
      </c>
      <c r="J24" s="173">
        <f>IFERROR(__xludf.DUMMYFUNCTION("""COMPUTED_VALUE"""),90.0)</f>
        <v>90</v>
      </c>
      <c r="K24" s="174">
        <f>IFERROR(__xludf.DUMMYFUNCTION("""COMPUTED_VALUE"""),100.0)</f>
        <v>100</v>
      </c>
      <c r="L24" s="175">
        <f>IFERROR(__xludf.DUMMYFUNCTION("""COMPUTED_VALUE"""),110.0)</f>
        <v>110</v>
      </c>
      <c r="M24" s="176">
        <f>IFERROR(__xludf.DUMMYFUNCTION("""COMPUTED_VALUE"""),120.0)</f>
        <v>120</v>
      </c>
      <c r="N24" s="155">
        <f>IFERROR(__xludf.DUMMYFUNCTION("""COMPUTED_VALUE"""),130.0)</f>
        <v>130</v>
      </c>
      <c r="O24" s="177">
        <f>IFERROR(__xludf.DUMMYFUNCTION("""COMPUTED_VALUE"""),142.0)</f>
        <v>142</v>
      </c>
    </row>
    <row r="25" ht="25.5" customHeight="1">
      <c r="C25" s="61" t="str">
        <f>IFERROR(__xludf.DUMMYFUNCTION("""COMPUTED_VALUE"""),"FloatTS Angelic Easy Larger")</f>
        <v>FloatTS Angelic Easy Larger</v>
      </c>
      <c r="D25" s="63" t="str">
        <f>round(brank!$D24*100,0)&amp;"%"</f>
        <v>0%</v>
      </c>
      <c r="E25" s="146"/>
      <c r="F25" s="72"/>
      <c r="G25" s="81" t="str">
        <f>IFERROR(__xludf.DUMMYFUNCTION("sparkline(
  F25 - choose(match(F25, {0, H25:O25}), 0, H25, I25, J25, K25, L25, M25, N25, O25),
  {
    ""charttype"", ""bar"";
    ""max"", choose(match(F25, {0, H25:O25}), H25, I25-H25, J25-I25, K25-J25, L25-K25, M25-L25, N25-M25, O25-N25, 0);
    ""nan"&amp;""", ""ignore"";
    ""color1"", iferror(choose(match(F25, {0, H25:O25}),
      ""#C5C3F2"",
      ""#B2CBEA"",
      ""#BAF6FC"",
      ""#6B94DF"",
      ""#5558AA"",
      ""#6e3f98"",
      ""#C080E4"",
      ""#F5BDE8"",
      ""#F5BDE8""
    ))
  }
)"),"")</f>
        <v/>
      </c>
      <c r="H25" s="147">
        <f>IFERROR(__xludf.DUMMYFUNCTION("""COMPUTED_VALUE"""),65.0)</f>
        <v>65</v>
      </c>
      <c r="I25" s="148">
        <f>IFERROR(__xludf.DUMMYFUNCTION("""COMPUTED_VALUE"""),74.0)</f>
        <v>74</v>
      </c>
      <c r="J25" s="149">
        <f>IFERROR(__xludf.DUMMYFUNCTION("""COMPUTED_VALUE"""),81.0)</f>
        <v>81</v>
      </c>
      <c r="K25" s="151">
        <f>IFERROR(__xludf.DUMMYFUNCTION("""COMPUTED_VALUE"""),88.0)</f>
        <v>88</v>
      </c>
      <c r="L25" s="152">
        <f>IFERROR(__xludf.DUMMYFUNCTION("""COMPUTED_VALUE"""),95.0)</f>
        <v>95</v>
      </c>
      <c r="M25" s="153">
        <f>IFERROR(__xludf.DUMMYFUNCTION("""COMPUTED_VALUE"""),101.0)</f>
        <v>101</v>
      </c>
      <c r="N25" s="155">
        <f>IFERROR(__xludf.DUMMYFUNCTION("""COMPUTED_VALUE"""),106.0)</f>
        <v>106</v>
      </c>
      <c r="O25" s="157">
        <f>IFERROR(__xludf.DUMMYFUNCTION("""COMPUTED_VALUE"""),111.0)</f>
        <v>111</v>
      </c>
    </row>
    <row r="26" ht="25.5" customHeight="1">
      <c r="B26" s="58" t="s">
        <v>67</v>
      </c>
      <c r="C26" s="115" t="str">
        <f>IFERROR(__xludf.DUMMYFUNCTION("""COMPUTED_VALUE"""),"WaldoTS Novice")</f>
        <v>WaldoTS Novice</v>
      </c>
      <c r="D26" s="63" t="str">
        <f>round(brank!$D25*100,0)&amp;"%"</f>
        <v>0%</v>
      </c>
      <c r="E26" s="146"/>
      <c r="F26" s="72"/>
      <c r="G26" s="81" t="str">
        <f>IFERROR(__xludf.DUMMYFUNCTION("sparkline(
  F26 - choose(match(F26, {0, H26:O26}), 0, H26, I26, J26, K26, L26, M26, N26, O26),
  {
    ""charttype"", ""bar"";
    ""max"", choose(match(F26, {0, H26:O26}), H26, I26-H26, J26-I26, K26-J26, L26-K26, M26-L26, N26-M26, O26-N26, 0);
    ""nan"&amp;""", ""ignore"";
    ""color1"", iferror(choose(match(F26, {0, H26:O26}),
      ""#C5C3F2"",
      ""#B2CBEA"",
      ""#BAF6FC"",
      ""#6B94DF"",
      ""#5558AA"",
      ""#6e3f98"",
      ""#C080E4"",
      ""#F5BDE8"",
      ""#F5BDE8""
    ))
  }
)"),"")</f>
        <v/>
      </c>
      <c r="H26" s="147">
        <f>IFERROR(__xludf.DUMMYFUNCTION("""COMPUTED_VALUE"""),65.0)</f>
        <v>65</v>
      </c>
      <c r="I26" s="172">
        <f>IFERROR(__xludf.DUMMYFUNCTION("""COMPUTED_VALUE"""),78.0)</f>
        <v>78</v>
      </c>
      <c r="J26" s="173">
        <f>IFERROR(__xludf.DUMMYFUNCTION("""COMPUTED_VALUE"""),90.0)</f>
        <v>90</v>
      </c>
      <c r="K26" s="174">
        <f>IFERROR(__xludf.DUMMYFUNCTION("""COMPUTED_VALUE"""),100.0)</f>
        <v>100</v>
      </c>
      <c r="L26" s="175">
        <f>IFERROR(__xludf.DUMMYFUNCTION("""COMPUTED_VALUE"""),110.0)</f>
        <v>110</v>
      </c>
      <c r="M26" s="176">
        <f>IFERROR(__xludf.DUMMYFUNCTION("""COMPUTED_VALUE"""),120.0)</f>
        <v>120</v>
      </c>
      <c r="N26" s="155">
        <f>IFERROR(__xludf.DUMMYFUNCTION("""COMPUTED_VALUE"""),130.0)</f>
        <v>130</v>
      </c>
      <c r="O26" s="177">
        <f>IFERROR(__xludf.DUMMYFUNCTION("""COMPUTED_VALUE"""),140.0)</f>
        <v>140</v>
      </c>
    </row>
    <row r="27" ht="25.5" customHeight="1">
      <c r="C27" s="115" t="str">
        <f>IFERROR(__xludf.DUMMYFUNCTION("""COMPUTED_VALUE"""),"devTS Goated NR Static 5Bot")</f>
        <v>devTS Goated NR Static 5Bot</v>
      </c>
      <c r="D27" s="63" t="str">
        <f>round(brank!$D26*100,0)&amp;"%"</f>
        <v>0%</v>
      </c>
      <c r="E27" s="146"/>
      <c r="F27" s="72"/>
      <c r="G27" s="81" t="str">
        <f>IFERROR(__xludf.DUMMYFUNCTION("sparkline(
  F27 - choose(match(F27, {0, H27:O27}), 0, H27, I27, J27, K27, L27, M27, N27, O27),
  {
    ""charttype"", ""bar"";
    ""max"", choose(match(F27, {0, H27:O27}), H27, I27-H27, J27-I27, K27-J27, L27-K27, M27-L27, N27-M27, O27-N27, 0);
    ""nan"&amp;""", ""ignore"";
    ""color1"", iferror(choose(match(F27, {0, H27:O27}),
      ""#C5C3F2"",
      ""#B2CBEA"",
      ""#BAF6FC"",
      ""#6B94DF"",
      ""#5558AA"",
      ""#6e3f98"",
      ""#C080E4"",
      ""#F5BDE8"",
      ""#F5BDE8""
    ))
  }
)"),"")</f>
        <v/>
      </c>
      <c r="H27" s="147">
        <f>IFERROR(__xludf.DUMMYFUNCTION("""COMPUTED_VALUE"""),350.0)</f>
        <v>350</v>
      </c>
      <c r="I27" s="172">
        <f>IFERROR(__xludf.DUMMYFUNCTION("""COMPUTED_VALUE"""),400.0)</f>
        <v>400</v>
      </c>
      <c r="J27" s="173">
        <f>IFERROR(__xludf.DUMMYFUNCTION("""COMPUTED_VALUE"""),450.0)</f>
        <v>450</v>
      </c>
      <c r="K27" s="174">
        <f>IFERROR(__xludf.DUMMYFUNCTION("""COMPUTED_VALUE"""),500.0)</f>
        <v>500</v>
      </c>
      <c r="L27" s="175">
        <f>IFERROR(__xludf.DUMMYFUNCTION("""COMPUTED_VALUE"""),550.0)</f>
        <v>550</v>
      </c>
      <c r="M27" s="176">
        <f>IFERROR(__xludf.DUMMYFUNCTION("""COMPUTED_VALUE"""),600.0)</f>
        <v>600</v>
      </c>
      <c r="N27" s="155">
        <f>IFERROR(__xludf.DUMMYFUNCTION("""COMPUTED_VALUE"""),640.0)</f>
        <v>640</v>
      </c>
      <c r="O27" s="177">
        <f>IFERROR(__xludf.DUMMYFUNCTION("""COMPUTED_VALUE"""),680.0)</f>
        <v>680</v>
      </c>
    </row>
    <row r="28" ht="25.5" customHeight="1">
      <c r="B28" s="58" t="s">
        <v>72</v>
      </c>
      <c r="C28" s="61" t="str">
        <f>IFERROR(__xludf.DUMMYFUNCTION("""COMPUTED_VALUE"""),"domiSwitch Easy Slower")</f>
        <v>domiSwitch Easy Slower</v>
      </c>
      <c r="D28" s="63" t="str">
        <f>round(brank!$D27*100,0)&amp;"%"</f>
        <v>0%</v>
      </c>
      <c r="E28" s="146"/>
      <c r="F28" s="72"/>
      <c r="G28" s="81" t="str">
        <f>IFERROR(__xludf.DUMMYFUNCTION("sparkline(
  F28 - choose(match(F28, {0, H28:O28}), 0, H28, I28, J28, K28, L28, M28, N28, O28),
  {
    ""charttype"", ""bar"";
    ""max"", choose(match(F28, {0, H28:O28}), H28, I28-H28, J28-I28, K28-J28, L28-K28, M28-L28, N28-M28, O28-N28, 0);
    ""nan"&amp;""", ""ignore"";
    ""color1"", iferror(choose(match(F28, {0, H28:O28}),
      ""#C5C3F2"",
      ""#B2CBEA"",
      ""#BAF6FC"",
      ""#6B94DF"",
      ""#5558AA"",
      ""#6e3f98"",
      ""#C080E4"",
      ""#F5BDE8"",
      ""#F5BDE8""
    ))
  }
)"),"")</f>
        <v/>
      </c>
      <c r="H28" s="147">
        <f>IFERROR(__xludf.DUMMYFUNCTION("""COMPUTED_VALUE"""),3200.0)</f>
        <v>3200</v>
      </c>
      <c r="I28" s="148">
        <f>IFERROR(__xludf.DUMMYFUNCTION("""COMPUTED_VALUE"""),3700.0)</f>
        <v>3700</v>
      </c>
      <c r="J28" s="149">
        <f>IFERROR(__xludf.DUMMYFUNCTION("""COMPUTED_VALUE"""),4200.0)</f>
        <v>4200</v>
      </c>
      <c r="K28" s="151">
        <f>IFERROR(__xludf.DUMMYFUNCTION("""COMPUTED_VALUE"""),4600.0)</f>
        <v>4600</v>
      </c>
      <c r="L28" s="152">
        <f>IFERROR(__xludf.DUMMYFUNCTION("""COMPUTED_VALUE"""),5000.0)</f>
        <v>5000</v>
      </c>
      <c r="M28" s="153">
        <f>IFERROR(__xludf.DUMMYFUNCTION("""COMPUTED_VALUE"""),5400.0)</f>
        <v>5400</v>
      </c>
      <c r="N28" s="155">
        <f>IFERROR(__xludf.DUMMYFUNCTION("""COMPUTED_VALUE"""),5800.0)</f>
        <v>5800</v>
      </c>
      <c r="O28" s="157">
        <f>IFERROR(__xludf.DUMMYFUNCTION("""COMPUTED_VALUE"""),6300.0)</f>
        <v>6300</v>
      </c>
    </row>
    <row r="29" ht="25.5" customHeight="1">
      <c r="C29" s="61" t="str">
        <f>IFERROR(__xludf.DUMMYFUNCTION("""COMPUTED_VALUE"""),"tamTargetSwitch Smooth Easy")</f>
        <v>tamTargetSwitch Smooth Easy</v>
      </c>
      <c r="D29" s="63" t="str">
        <f>round(brank!$D28*100,0)&amp;"%"</f>
        <v>0%</v>
      </c>
      <c r="E29" s="146"/>
      <c r="F29" s="72"/>
      <c r="G29" s="81" t="str">
        <f>IFERROR(__xludf.DUMMYFUNCTION("sparkline(
  F29 - choose(match(F29, {0, H29:O29}), 0, H29, I29, J29, K29, L29, M29, N29, O29),
  {
    ""charttype"", ""bar"";
    ""max"", choose(match(F29, {0, H29:O29}), H29, I29-H29, J29-I29, K29-J29, L29-K29, M29-L29, N29-M29, O29-N29, 0);
    ""nan"&amp;""", ""ignore"";
    ""color1"", iferror(choose(match(F29, {0, H29:O29}),
      ""#C5C3F2"",
      ""#B2CBEA"",
      ""#BAF6FC"",
      ""#6B94DF"",
      ""#5558AA"",
      ""#6e3f98"",
      ""#C080E4"",
      ""#F5BDE8"",
      ""#F5BDE8""
    ))
  }
)"),"")</f>
        <v/>
      </c>
      <c r="H29" s="147">
        <f>IFERROR(__xludf.DUMMYFUNCTION("""COMPUTED_VALUE"""),7.0)</f>
        <v>7</v>
      </c>
      <c r="I29" s="172">
        <f>IFERROR(__xludf.DUMMYFUNCTION("""COMPUTED_VALUE"""),11.0)</f>
        <v>11</v>
      </c>
      <c r="J29" s="173">
        <f>IFERROR(__xludf.DUMMYFUNCTION("""COMPUTED_VALUE"""),15.0)</f>
        <v>15</v>
      </c>
      <c r="K29" s="174">
        <f>IFERROR(__xludf.DUMMYFUNCTION("""COMPUTED_VALUE"""),18.0)</f>
        <v>18</v>
      </c>
      <c r="L29" s="175">
        <f>IFERROR(__xludf.DUMMYFUNCTION("""COMPUTED_VALUE"""),21.0)</f>
        <v>21</v>
      </c>
      <c r="M29" s="176">
        <f>IFERROR(__xludf.DUMMYFUNCTION("""COMPUTED_VALUE"""),24.0)</f>
        <v>24</v>
      </c>
      <c r="N29" s="155">
        <f>IFERROR(__xludf.DUMMYFUNCTION("""COMPUTED_VALUE"""),26.0)</f>
        <v>26</v>
      </c>
      <c r="O29" s="177">
        <f>IFERROR(__xludf.DUMMYFUNCTION("""COMPUTED_VALUE"""),28.0)</f>
        <v>28</v>
      </c>
    </row>
    <row r="30" ht="25.5" customHeight="1">
      <c r="A30" s="132" t="s">
        <v>69</v>
      </c>
      <c r="B30" s="58" t="s">
        <v>64</v>
      </c>
      <c r="C30" s="115" t="str">
        <f>IFERROR(__xludf.DUMMYFUNCTION("""COMPUTED_VALUE"""),"1wall5targets_pasu slow")</f>
        <v>1wall5targets_pasu slow</v>
      </c>
      <c r="D30" s="63" t="str">
        <f>round(brank!$D29*100,0)&amp;"%"</f>
        <v>0%</v>
      </c>
      <c r="E30" s="146"/>
      <c r="F30" s="72"/>
      <c r="G30" s="81" t="str">
        <f>IFERROR(__xludf.DUMMYFUNCTION("sparkline(
  F30 - choose(match(F30, {0, H30:O30}), 0, H30, I30, J30, K30, L30, M30, N30, O30),
  {
    ""charttype"", ""bar"";
    ""max"", choose(match(F30, {0, H30:O30}), H30, I30-H30, J30-I30, K30-J30, L30-K30, M30-L30, N30-M30, O30-N30, 0);
    ""nan"&amp;""", ""ignore"";
    ""color1"", iferror(choose(match(F30, {0, H30:O30}),
      ""#C5C3F2"",
      ""#B2CBEA"",
      ""#BAF6FC"",
      ""#6B94DF"",
      ""#5558AA"",
      ""#6e3f98"",
      ""#C080E4"",
      ""#F5BDE8"",
      ""#F5BDE8""
    ))
  }
)"),"")</f>
        <v/>
      </c>
      <c r="H30" s="147">
        <f>IFERROR(__xludf.DUMMYFUNCTION("""COMPUTED_VALUE"""),76.0)</f>
        <v>76</v>
      </c>
      <c r="I30" s="172">
        <f>IFERROR(__xludf.DUMMYFUNCTION("""COMPUTED_VALUE"""),88.0)</f>
        <v>88</v>
      </c>
      <c r="J30" s="173">
        <f>IFERROR(__xludf.DUMMYFUNCTION("""COMPUTED_VALUE"""),100.0)</f>
        <v>100</v>
      </c>
      <c r="K30" s="174">
        <f>IFERROR(__xludf.DUMMYFUNCTION("""COMPUTED_VALUE"""),110.0)</f>
        <v>110</v>
      </c>
      <c r="L30" s="175">
        <f>IFERROR(__xludf.DUMMYFUNCTION("""COMPUTED_VALUE"""),120.0)</f>
        <v>120</v>
      </c>
      <c r="M30" s="176">
        <f>IFERROR(__xludf.DUMMYFUNCTION("""COMPUTED_VALUE"""),130.0)</f>
        <v>130</v>
      </c>
      <c r="N30" s="155">
        <f>IFERROR(__xludf.DUMMYFUNCTION("""COMPUTED_VALUE"""),140.0)</f>
        <v>140</v>
      </c>
      <c r="O30" s="177">
        <f>IFERROR(__xludf.DUMMYFUNCTION("""COMPUTED_VALUE"""),150.0)</f>
        <v>150</v>
      </c>
    </row>
    <row r="31" ht="25.5" customHeight="1">
      <c r="C31" s="115" t="str">
        <f>IFERROR(__xludf.DUMMYFUNCTION("""COMPUTED_VALUE"""),"B180 Voltaic Easy 92%")</f>
        <v>B180 Voltaic Easy 92%</v>
      </c>
      <c r="D31" s="63" t="str">
        <f>round(brank!$D30*100,0)&amp;"%"</f>
        <v>0%</v>
      </c>
      <c r="E31" s="146"/>
      <c r="F31" s="72"/>
      <c r="G31" s="81" t="str">
        <f>IFERROR(__xludf.DUMMYFUNCTION("sparkline(
  F31 - choose(match(F31, {0, H31:O31}), 0, H31, I31, J31, K31, L31, M31, N31, O31),
  {
    ""charttype"", ""bar"";
    ""max"", choose(match(F31, {0, H31:O31}), H31, I31-H31, J31-I31, K31-J31, L31-K31, M31-L31, N31-M31, O31-N31, 0);
    ""nan"&amp;""", ""ignore"";
    ""color1"", iferror(choose(match(F31, {0, H31:O31}),
      ""#C5C3F2"",
      ""#B2CBEA"",
      ""#BAF6FC"",
      ""#6B94DF"",
      ""#5558AA"",
      ""#6e3f98"",
      ""#C080E4"",
      ""#F5BDE8"",
      ""#F5BDE8""
    ))
  }
)"),"")</f>
        <v/>
      </c>
      <c r="H31" s="147">
        <f>IFERROR(__xludf.DUMMYFUNCTION("""COMPUTED_VALUE"""),26.0)</f>
        <v>26</v>
      </c>
      <c r="I31" s="172">
        <f>IFERROR(__xludf.DUMMYFUNCTION("""COMPUTED_VALUE"""),38.0)</f>
        <v>38</v>
      </c>
      <c r="J31" s="173">
        <f>IFERROR(__xludf.DUMMYFUNCTION("""COMPUTED_VALUE"""),50.0)</f>
        <v>50</v>
      </c>
      <c r="K31" s="174">
        <f>IFERROR(__xludf.DUMMYFUNCTION("""COMPUTED_VALUE"""),58.0)</f>
        <v>58</v>
      </c>
      <c r="L31" s="175">
        <f>IFERROR(__xludf.DUMMYFUNCTION("""COMPUTED_VALUE"""),65.0)</f>
        <v>65</v>
      </c>
      <c r="M31" s="176">
        <f>IFERROR(__xludf.DUMMYFUNCTION("""COMPUTED_VALUE"""),72.0)</f>
        <v>72</v>
      </c>
      <c r="N31" s="155">
        <f>IFERROR(__xludf.DUMMYFUNCTION("""COMPUTED_VALUE"""),78.0)</f>
        <v>78</v>
      </c>
      <c r="O31" s="177">
        <f>IFERROR(__xludf.DUMMYFUNCTION("""COMPUTED_VALUE"""),87.0)</f>
        <v>87</v>
      </c>
    </row>
    <row r="32" ht="25.5" customHeight="1">
      <c r="C32" s="115" t="str">
        <f>IFERROR(__xludf.DUMMYFUNCTION("""COMPUTED_VALUE"""),"Controlsphere Click Easy")</f>
        <v>Controlsphere Click Easy</v>
      </c>
      <c r="D32" s="63" t="str">
        <f>round(brank!$D31*100,0)&amp;"%"</f>
        <v>0%</v>
      </c>
      <c r="E32" s="146"/>
      <c r="F32" s="72"/>
      <c r="G32" s="81" t="str">
        <f>IFERROR(__xludf.DUMMYFUNCTION("sparkline(
  F32 - choose(match(F32, {0, H32:O32}), 0, H32, I32, J32, K32, L32, M32, N32, O32),
  {
    ""charttype"", ""bar"";
    ""max"", choose(match(F32, {0, H32:O32}), H32, I32-H32, J32-I32, K32-J32, L32-K32, M32-L32, N32-M32, O32-N32, 0);
    ""nan"&amp;""", ""ignore"";
    ""color1"", iferror(choose(match(F32, {0, H32:O32}),
      ""#C5C3F2"",
      ""#B2CBEA"",
      ""#BAF6FC"",
      ""#6B94DF"",
      ""#5558AA"",
      ""#6e3f98"",
      ""#C080E4"",
      ""#F5BDE8"",
      ""#F5BDE8""
    ))
  }
)"),"")</f>
        <v/>
      </c>
      <c r="H32" s="147">
        <f>IFERROR(__xludf.DUMMYFUNCTION("""COMPUTED_VALUE"""),15.0)</f>
        <v>15</v>
      </c>
      <c r="I32" s="172">
        <f>IFERROR(__xludf.DUMMYFUNCTION("""COMPUTED_VALUE"""),21.0)</f>
        <v>21</v>
      </c>
      <c r="J32" s="173">
        <f>IFERROR(__xludf.DUMMYFUNCTION("""COMPUTED_VALUE"""),27.0)</f>
        <v>27</v>
      </c>
      <c r="K32" s="174">
        <f>IFERROR(__xludf.DUMMYFUNCTION("""COMPUTED_VALUE"""),33.0)</f>
        <v>33</v>
      </c>
      <c r="L32" s="175">
        <f>IFERROR(__xludf.DUMMYFUNCTION("""COMPUTED_VALUE"""),39.0)</f>
        <v>39</v>
      </c>
      <c r="M32" s="176">
        <f>IFERROR(__xludf.DUMMYFUNCTION("""COMPUTED_VALUE"""),45.0)</f>
        <v>45</v>
      </c>
      <c r="N32" s="155">
        <f>IFERROR(__xludf.DUMMYFUNCTION("""COMPUTED_VALUE"""),50.0)</f>
        <v>50</v>
      </c>
      <c r="O32" s="177">
        <f>IFERROR(__xludf.DUMMYFUNCTION("""COMPUTED_VALUE"""),55.0)</f>
        <v>55</v>
      </c>
    </row>
    <row r="33" ht="25.5" customHeight="1">
      <c r="B33" s="58" t="s">
        <v>70</v>
      </c>
      <c r="C33" s="61" t="str">
        <f>IFERROR(__xludf.DUMMYFUNCTION("""COMPUTED_VALUE"""),"Popcorn MV Novice")</f>
        <v>Popcorn MV Novice</v>
      </c>
      <c r="D33" s="63" t="str">
        <f>round(brank!$D32*100,0)&amp;"%"</f>
        <v>0%</v>
      </c>
      <c r="E33" s="146"/>
      <c r="F33" s="72"/>
      <c r="G33" s="81" t="str">
        <f>IFERROR(__xludf.DUMMYFUNCTION("sparkline(
  F33 - choose(match(F33, {0, H33:O33}), 0, H33, I33, J33, K33, L33, M33, N33, O33),
  {
    ""charttype"", ""bar"";
    ""max"", choose(match(F33, {0, H33:O33}), H33, I33-H33, J33-I33, K33-J33, L33-K33, M33-L33, N33-M33, O33-N33, 0);
    ""nan"&amp;""", ""ignore"";
    ""color1"", iferror(choose(match(F33, {0, H33:O33}),
      ""#C5C3F2"",
      ""#B2CBEA"",
      ""#BAF6FC"",
      ""#6B94DF"",
      ""#5558AA"",
      ""#6e3f98"",
      ""#C080E4"",
      ""#F5BDE8"",
      ""#F5BDE8""
    ))
  }
)"),"")</f>
        <v/>
      </c>
      <c r="H33" s="147">
        <f>IFERROR(__xludf.DUMMYFUNCTION("""COMPUTED_VALUE"""),50.0)</f>
        <v>50</v>
      </c>
      <c r="I33" s="172">
        <f>IFERROR(__xludf.DUMMYFUNCTION("""COMPUTED_VALUE"""),100.0)</f>
        <v>100</v>
      </c>
      <c r="J33" s="173">
        <f>IFERROR(__xludf.DUMMYFUNCTION("""COMPUTED_VALUE"""),150.0)</f>
        <v>150</v>
      </c>
      <c r="K33" s="174">
        <f>IFERROR(__xludf.DUMMYFUNCTION("""COMPUTED_VALUE"""),190.0)</f>
        <v>190</v>
      </c>
      <c r="L33" s="175">
        <f>IFERROR(__xludf.DUMMYFUNCTION("""COMPUTED_VALUE"""),230.0)</f>
        <v>230</v>
      </c>
      <c r="M33" s="176">
        <f>IFERROR(__xludf.DUMMYFUNCTION("""COMPUTED_VALUE"""),270.0)</f>
        <v>270</v>
      </c>
      <c r="N33" s="155">
        <f>IFERROR(__xludf.DUMMYFUNCTION("""COMPUTED_VALUE"""),300.0)</f>
        <v>300</v>
      </c>
      <c r="O33" s="177">
        <f>IFERROR(__xludf.DUMMYFUNCTION("""COMPUTED_VALUE"""),330.0)</f>
        <v>330</v>
      </c>
    </row>
    <row r="34" ht="25.5" customHeight="1">
      <c r="C34" s="61" t="str">
        <f>IFERROR(__xludf.DUMMYFUNCTION("""COMPUTED_VALUE"""),"Pasu Angelic 20% Larger 80% Speed")</f>
        <v>Pasu Angelic 20% Larger 80% Speed</v>
      </c>
      <c r="D34" s="63" t="str">
        <f>round(brank!$D33*100,0)&amp;"%"</f>
        <v>0%</v>
      </c>
      <c r="E34" s="146"/>
      <c r="F34" s="72"/>
      <c r="G34" s="81" t="str">
        <f>IFERROR(__xludf.DUMMYFUNCTION("sparkline(
  F34 - choose(match(F34, {0, H34:O34}), 0, H34, I34, J34, K34, L34, M34, N34, O34),
  {
    ""charttype"", ""bar"";
    ""max"", choose(match(F34, {0, H34:O34}), H34, I34-H34, J34-I34, K34-J34, L34-K34, M34-L34, N34-M34, O34-N34, 0);
    ""nan"&amp;""", ""ignore"";
    ""color1"", iferror(choose(match(F34, {0, H34:O34}),
      ""#C5C3F2"",
      ""#B2CBEA"",
      ""#BAF6FC"",
      ""#6B94DF"",
      ""#5558AA"",
      ""#6e3f98"",
      ""#C080E4"",
      ""#F5BDE8"",
      ""#F5BDE8""
    ))
  }
)"),"")</f>
        <v/>
      </c>
      <c r="H34" s="147">
        <f>IFERROR(__xludf.DUMMYFUNCTION("""COMPUTED_VALUE"""),51.0)</f>
        <v>51</v>
      </c>
      <c r="I34" s="172">
        <f>IFERROR(__xludf.DUMMYFUNCTION("""COMPUTED_VALUE"""),58.0)</f>
        <v>58</v>
      </c>
      <c r="J34" s="173">
        <f>IFERROR(__xludf.DUMMYFUNCTION("""COMPUTED_VALUE"""),65.0)</f>
        <v>65</v>
      </c>
      <c r="K34" s="174">
        <f>IFERROR(__xludf.DUMMYFUNCTION("""COMPUTED_VALUE"""),72.0)</f>
        <v>72</v>
      </c>
      <c r="L34" s="175">
        <f>IFERROR(__xludf.DUMMYFUNCTION("""COMPUTED_VALUE"""),78.0)</f>
        <v>78</v>
      </c>
      <c r="M34" s="176">
        <f>IFERROR(__xludf.DUMMYFUNCTION("""COMPUTED_VALUE"""),84.0)</f>
        <v>84</v>
      </c>
      <c r="N34" s="155">
        <f>IFERROR(__xludf.DUMMYFUNCTION("""COMPUTED_VALUE"""),90.0)</f>
        <v>90</v>
      </c>
      <c r="O34" s="177">
        <f>IFERROR(__xludf.DUMMYFUNCTION("""COMPUTED_VALUE"""),97.0)</f>
        <v>97</v>
      </c>
    </row>
    <row r="35" ht="25.5" customHeight="1">
      <c r="C35" s="61" t="str">
        <f>IFERROR(__xludf.DUMMYFUNCTION("""COMPUTED_VALUE"""),"1w2ts Pasu Perfected Easy")</f>
        <v>1w2ts Pasu Perfected Easy</v>
      </c>
      <c r="D35" s="63" t="str">
        <f>round(brank!$D34*100,0)&amp;"%"</f>
        <v>0%</v>
      </c>
      <c r="E35" s="146"/>
      <c r="F35" s="72"/>
      <c r="G35" s="81" t="str">
        <f>IFERROR(__xludf.DUMMYFUNCTION("sparkline(
  F35 - choose(match(F35, {0, H35:O35}), 0, H35, I35, J35, K35, L35, M35, N35, O35),
  {
    ""charttype"", ""bar"";
    ""max"", choose(match(F35, {0, H35:O35}), H35, I35-H35, J35-I35, K35-J35, L35-K35, M35-L35, N35-M35, O35-N35, 0);
    ""nan"&amp;""", ""ignore"";
    ""color1"", iferror(choose(match(F35, {0, H35:O35}),
      ""#C5C3F2"",
      ""#B2CBEA"",
      ""#BAF6FC"",
      ""#6B94DF"",
      ""#5558AA"",
      ""#6e3f98"",
      ""#C080E4"",
      ""#F5BDE8"",
      ""#F5BDE8""
    ))
  }
)"),"")</f>
        <v/>
      </c>
      <c r="H35" s="147">
        <f>IFERROR(__xludf.DUMMYFUNCTION("""COMPUTED_VALUE"""),58.0)</f>
        <v>58</v>
      </c>
      <c r="I35" s="172">
        <f>IFERROR(__xludf.DUMMYFUNCTION("""COMPUTED_VALUE"""),69.0)</f>
        <v>69</v>
      </c>
      <c r="J35" s="173">
        <f>IFERROR(__xludf.DUMMYFUNCTION("""COMPUTED_VALUE"""),80.0)</f>
        <v>80</v>
      </c>
      <c r="K35" s="174">
        <f>IFERROR(__xludf.DUMMYFUNCTION("""COMPUTED_VALUE"""),87.0)</f>
        <v>87</v>
      </c>
      <c r="L35" s="175">
        <f>IFERROR(__xludf.DUMMYFUNCTION("""COMPUTED_VALUE"""),93.0)</f>
        <v>93</v>
      </c>
      <c r="M35" s="176">
        <f>IFERROR(__xludf.DUMMYFUNCTION("""COMPUTED_VALUE"""),99.0)</f>
        <v>99</v>
      </c>
      <c r="N35" s="155">
        <f>IFERROR(__xludf.DUMMYFUNCTION("""COMPUTED_VALUE"""),105.0)</f>
        <v>105</v>
      </c>
      <c r="O35" s="177">
        <f>IFERROR(__xludf.DUMMYFUNCTION("""COMPUTED_VALUE"""),110.0)</f>
        <v>110</v>
      </c>
    </row>
    <row r="36" ht="25.5" customHeight="1">
      <c r="B36" s="58" t="s">
        <v>71</v>
      </c>
      <c r="C36" s="115" t="str">
        <f>IFERROR(__xludf.DUMMYFUNCTION("""COMPUTED_VALUE"""),"1w3ts Pasu Perfected Micro Goated Larger 80%")</f>
        <v>1w3ts Pasu Perfected Micro Goated Larger 80%</v>
      </c>
      <c r="D36" s="63" t="str">
        <f>round(brank!$D35*100,0)&amp;"%"</f>
        <v>0%</v>
      </c>
      <c r="E36" s="146"/>
      <c r="F36" s="72"/>
      <c r="G36" s="81" t="str">
        <f>IFERROR(__xludf.DUMMYFUNCTION("sparkline(
  F36 - choose(match(F36, {0, H36:O36}), 0, H36, I36, J36, K36, L36, M36, N36, O36),
  {
    ""charttype"", ""bar"";
    ""max"", choose(match(F36, {0, H36:O36}), H36, I36-H36, J36-I36, K36-J36, L36-K36, M36-L36, N36-M36, O36-N36, 0);
    ""nan"&amp;""", ""ignore"";
    ""color1"", iferror(choose(match(F36, {0, H36:O36}),
      ""#C5C3F2"",
      ""#B2CBEA"",
      ""#BAF6FC"",
      ""#6B94DF"",
      ""#5558AA"",
      ""#6e3f98"",
      ""#C080E4"",
      ""#F5BDE8"",
      ""#F5BDE8""
    ))
  }
)"),"")</f>
        <v/>
      </c>
      <c r="H36" s="147">
        <f>IFERROR(__xludf.DUMMYFUNCTION("""COMPUTED_VALUE"""),600.0)</f>
        <v>600</v>
      </c>
      <c r="I36" s="172">
        <f>IFERROR(__xludf.DUMMYFUNCTION("""COMPUTED_VALUE"""),700.0)</f>
        <v>700</v>
      </c>
      <c r="J36" s="173">
        <f>IFERROR(__xludf.DUMMYFUNCTION("""COMPUTED_VALUE"""),800.0)</f>
        <v>800</v>
      </c>
      <c r="K36" s="174">
        <f>IFERROR(__xludf.DUMMYFUNCTION("""COMPUTED_VALUE"""),900.0)</f>
        <v>900</v>
      </c>
      <c r="L36" s="152">
        <f>IFERROR(__xludf.DUMMYFUNCTION("""COMPUTED_VALUE"""),1000.0)</f>
        <v>1000</v>
      </c>
      <c r="M36" s="153">
        <f>IFERROR(__xludf.DUMMYFUNCTION("""COMPUTED_VALUE"""),1100.0)</f>
        <v>1100</v>
      </c>
      <c r="N36" s="155">
        <f>IFERROR(__xludf.DUMMYFUNCTION("""COMPUTED_VALUE"""),1200.0)</f>
        <v>1200</v>
      </c>
      <c r="O36" s="157">
        <f>IFERROR(__xludf.DUMMYFUNCTION("""COMPUTED_VALUE"""),1300.0)</f>
        <v>1300</v>
      </c>
    </row>
    <row r="37" ht="25.5" customHeight="1">
      <c r="C37" s="115" t="str">
        <f>IFERROR(__xludf.DUMMYFUNCTION("""COMPUTED_VALUE"""),"Floating Heads Timing 400% Larger")</f>
        <v>Floating Heads Timing 400% Larger</v>
      </c>
      <c r="D37" s="63" t="str">
        <f>round(brank!$D36*100,0)&amp;"%"</f>
        <v>0%</v>
      </c>
      <c r="E37" s="146"/>
      <c r="F37" s="72"/>
      <c r="G37" s="81" t="str">
        <f>IFERROR(__xludf.DUMMYFUNCTION("sparkline(
  F37 - choose(match(F37, {0, H37:O37}), 0, H37, I37, J37, K37, L37, M37, N37, O37),
  {
    ""charttype"", ""bar"";
    ""max"", choose(match(F37, {0, H37:O37}), H37, I37-H37, J37-I37, K37-J37, L37-K37, M37-L37, N37-M37, O37-N37, 0);
    ""nan"&amp;""", ""ignore"";
    ""color1"", iferror(choose(match(F37, {0, H37:O37}),
      ""#C5C3F2"",
      ""#B2CBEA"",
      ""#BAF6FC"",
      ""#6B94DF"",
      ""#5558AA"",
      ""#6e3f98"",
      ""#C080E4"",
      ""#F5BDE8"",
      ""#F5BDE8""
    ))
  }
)"),"")</f>
        <v/>
      </c>
      <c r="H37" s="147">
        <f>IFERROR(__xludf.DUMMYFUNCTION("""COMPUTED_VALUE"""),400.0)</f>
        <v>400</v>
      </c>
      <c r="I37" s="148">
        <f>IFERROR(__xludf.DUMMYFUNCTION("""COMPUTED_VALUE"""),700.0)</f>
        <v>700</v>
      </c>
      <c r="J37" s="149">
        <f>IFERROR(__xludf.DUMMYFUNCTION("""COMPUTED_VALUE"""),1000.0)</f>
        <v>1000</v>
      </c>
      <c r="K37" s="151">
        <f>IFERROR(__xludf.DUMMYFUNCTION("""COMPUTED_VALUE"""),1350.0)</f>
        <v>1350</v>
      </c>
      <c r="L37" s="152">
        <f>IFERROR(__xludf.DUMMYFUNCTION("""COMPUTED_VALUE"""),1700.0)</f>
        <v>1700</v>
      </c>
      <c r="M37" s="153">
        <f>IFERROR(__xludf.DUMMYFUNCTION("""COMPUTED_VALUE"""),2050.0)</f>
        <v>2050</v>
      </c>
      <c r="N37" s="155">
        <f>IFERROR(__xludf.DUMMYFUNCTION("""COMPUTED_VALUE"""),2400.0)</f>
        <v>2400</v>
      </c>
      <c r="O37" s="157">
        <f>IFERROR(__xludf.DUMMYFUNCTION("""COMPUTED_VALUE"""),2750.0)</f>
        <v>2750</v>
      </c>
    </row>
    <row r="38" ht="25.5" customHeight="1">
      <c r="A38" s="132"/>
      <c r="C38" s="115" t="str">
        <f>IFERROR(__xludf.DUMMYFUNCTION("""COMPUTED_VALUE"""),"voxTargetSwitch Click ")</f>
        <v>voxTargetSwitch Click </v>
      </c>
      <c r="D38" s="63" t="str">
        <f>round(brank!$D37*100,0)&amp;"%"</f>
        <v>0%</v>
      </c>
      <c r="E38" s="146"/>
      <c r="F38" s="72"/>
      <c r="G38" s="81" t="str">
        <f>IFERROR(__xludf.DUMMYFUNCTION("sparkline(
  F38 - choose(match(F38, {0, H38:O38}), 0, H38, I38, J38, K38, L38, M38, N38, O38),
  {
    ""charttype"", ""bar"";
    ""max"", choose(match(F38, {0, H38:O38}), H38, I38-H38, J38-I38, K38-J38, L38-K38, M38-L38, N38-M38, O38-N38, 0);
    ""nan"&amp;""", ""ignore"";
    ""color1"", iferror(choose(match(F38, {0, H38:O38}),
      ""#C5C3F2"",
      ""#B2CBEA"",
      ""#BAF6FC"",
      ""#6B94DF"",
      ""#5558AA"",
      ""#6e3f98"",
      ""#C080E4"",
      ""#F5BDE8"",
      ""#F5BDE8""
    ))
  }
)"),"")</f>
        <v/>
      </c>
      <c r="H38" s="147">
        <f>IFERROR(__xludf.DUMMYFUNCTION("""COMPUTED_VALUE"""),49.0)</f>
        <v>49</v>
      </c>
      <c r="I38" s="148">
        <f>IFERROR(__xludf.DUMMYFUNCTION("""COMPUTED_VALUE"""),59.0)</f>
        <v>59</v>
      </c>
      <c r="J38" s="149">
        <f>IFERROR(__xludf.DUMMYFUNCTION("""COMPUTED_VALUE"""),67.0)</f>
        <v>67</v>
      </c>
      <c r="K38" s="151">
        <f>IFERROR(__xludf.DUMMYFUNCTION("""COMPUTED_VALUE"""),74.0)</f>
        <v>74</v>
      </c>
      <c r="L38" s="152">
        <f>IFERROR(__xludf.DUMMYFUNCTION("""COMPUTED_VALUE"""),81.0)</f>
        <v>81</v>
      </c>
      <c r="M38" s="153">
        <f>IFERROR(__xludf.DUMMYFUNCTION("""COMPUTED_VALUE"""),88.0)</f>
        <v>88</v>
      </c>
      <c r="N38" s="155">
        <f>IFERROR(__xludf.DUMMYFUNCTION("""COMPUTED_VALUE"""),94.0)</f>
        <v>94</v>
      </c>
      <c r="O38" s="157">
        <f>IFERROR(__xludf.DUMMYFUNCTION("""COMPUTED_VALUE"""),100.0)</f>
        <v>100</v>
      </c>
    </row>
  </sheetData>
  <mergeCells count="24">
    <mergeCell ref="B3:B5"/>
    <mergeCell ref="B6:B8"/>
    <mergeCell ref="A1:C1"/>
    <mergeCell ref="E1:G1"/>
    <mergeCell ref="H1:I1"/>
    <mergeCell ref="J1:L1"/>
    <mergeCell ref="N1:O1"/>
    <mergeCell ref="E2:F2"/>
    <mergeCell ref="A3:A14"/>
    <mergeCell ref="B21:B23"/>
    <mergeCell ref="B24:B25"/>
    <mergeCell ref="B26:B27"/>
    <mergeCell ref="B28:B29"/>
    <mergeCell ref="A30:A37"/>
    <mergeCell ref="B30:B32"/>
    <mergeCell ref="B33:B35"/>
    <mergeCell ref="B36:B38"/>
    <mergeCell ref="B9:B11"/>
    <mergeCell ref="B12:B14"/>
    <mergeCell ref="A15:A20"/>
    <mergeCell ref="B15:B16"/>
    <mergeCell ref="B17:B18"/>
    <mergeCell ref="B19:B20"/>
    <mergeCell ref="A21:A29"/>
  </mergeCells>
  <conditionalFormatting sqref="E36:F36">
    <cfRule type="expression" dxfId="19" priority="1">
      <formula>$H$36=""</formula>
    </cfRule>
  </conditionalFormatting>
  <conditionalFormatting sqref="F3:F38">
    <cfRule type="expression" dxfId="20" priority="2">
      <formula>arrayformula(F3:F38&gt;=$O3:O38)</formula>
    </cfRule>
  </conditionalFormatting>
  <conditionalFormatting sqref="F3:F38">
    <cfRule type="expression" dxfId="21" priority="3">
      <formula>arrayformula(F3:F38&gt;=$N3:N38)</formula>
    </cfRule>
  </conditionalFormatting>
  <conditionalFormatting sqref="F3:F38">
    <cfRule type="expression" dxfId="22" priority="4">
      <formula>arrayformula(F3:F38&gt;=$M3:M38)</formula>
    </cfRule>
  </conditionalFormatting>
  <conditionalFormatting sqref="F3:F38">
    <cfRule type="expression" dxfId="23" priority="5">
      <formula>arrayformula(F3:F38&gt;=$L3:L38)</formula>
    </cfRule>
  </conditionalFormatting>
  <conditionalFormatting sqref="F3:F38">
    <cfRule type="expression" dxfId="24" priority="6">
      <formula>arrayformula(F3:F38&gt;=$K3:K38)</formula>
    </cfRule>
  </conditionalFormatting>
  <conditionalFormatting sqref="F3:F38">
    <cfRule type="expression" dxfId="25" priority="7">
      <formula>arrayformula(F3:F38&gt;=$J3:J38)</formula>
    </cfRule>
  </conditionalFormatting>
  <conditionalFormatting sqref="F3:F38">
    <cfRule type="expression" dxfId="26" priority="8">
      <formula>arrayformula(F3:F38&gt;=$I3:I38)</formula>
    </cfRule>
  </conditionalFormatting>
  <conditionalFormatting sqref="F3:F38">
    <cfRule type="expression" dxfId="27" priority="9">
      <formula>arrayformula(F3:F38&gt;=$H3:H38)</formula>
    </cfRule>
  </conditionalFormatting>
  <conditionalFormatting sqref="E3:E38">
    <cfRule type="expression" dxfId="28" priority="10">
      <formula>arrayformula(F3:F38&gt;=$O3:O38)</formula>
    </cfRule>
  </conditionalFormatting>
  <conditionalFormatting sqref="E3:E38">
    <cfRule type="expression" dxfId="29" priority="11">
      <formula>arrayformula(F3:F38&gt;=$N3:N38)</formula>
    </cfRule>
  </conditionalFormatting>
  <conditionalFormatting sqref="E3:E38">
    <cfRule type="expression" dxfId="30" priority="12">
      <formula>arrayformula(F3:F38&gt;=$M3:M38)</formula>
    </cfRule>
  </conditionalFormatting>
  <conditionalFormatting sqref="E3:E38">
    <cfRule type="expression" dxfId="31" priority="13">
      <formula>arrayformula(F3:F38&gt;=$L3:L38)</formula>
    </cfRule>
  </conditionalFormatting>
  <conditionalFormatting sqref="E3:E38">
    <cfRule type="expression" dxfId="32" priority="14">
      <formula>arrayformula(F3:F38&gt;=$K3:K38)</formula>
    </cfRule>
  </conditionalFormatting>
  <conditionalFormatting sqref="E3:E38">
    <cfRule type="expression" dxfId="33" priority="15">
      <formula>arrayformula(F3:F38&gt;=$J3:J38)</formula>
    </cfRule>
  </conditionalFormatting>
  <conditionalFormatting sqref="E3:E38">
    <cfRule type="expression" dxfId="35" priority="16">
      <formula>arrayformula(F3:F38&gt;=$I3:I38)</formula>
    </cfRule>
  </conditionalFormatting>
  <conditionalFormatting sqref="E3:E38">
    <cfRule type="expression" dxfId="37" priority="17">
      <formula>arrayformula(F3:F38&gt;=$H3:H38)</formula>
    </cfRule>
  </conditionalFormatting>
  <conditionalFormatting sqref="E1:G1">
    <cfRule type="containsText" dxfId="39" priority="18" operator="containsText" text="Lemming">
      <formula>NOT(ISERROR(SEARCH(("Lemming"),(E1))))</formula>
    </cfRule>
  </conditionalFormatting>
  <conditionalFormatting sqref="E1:G1">
    <cfRule type="containsText" dxfId="41" priority="19" operator="containsText" text="Ermine">
      <formula>NOT(ISERROR(SEARCH(("Ermine"),(E1))))</formula>
    </cfRule>
  </conditionalFormatting>
  <conditionalFormatting sqref="E1:G1">
    <cfRule type="containsText" dxfId="43" priority="20" operator="containsText" text="Penguin">
      <formula>NOT(ISERROR(SEARCH(("Penguin"),(E1))))</formula>
    </cfRule>
  </conditionalFormatting>
  <conditionalFormatting sqref="E1:G1">
    <cfRule type="containsText" dxfId="45" priority="21" operator="containsText" text="Fox">
      <formula>NOT(ISERROR(SEARCH(("Fox"),(E1))))</formula>
    </cfRule>
  </conditionalFormatting>
  <conditionalFormatting sqref="E1:G1">
    <cfRule type="containsText" dxfId="47" priority="22" operator="containsText" text="Orca">
      <formula>NOT(ISERROR(SEARCH(("Orca"),(E1))))</formula>
    </cfRule>
  </conditionalFormatting>
  <conditionalFormatting sqref="E1:G1">
    <cfRule type="containsText" dxfId="20" priority="23" operator="containsText" text="Seal">
      <formula>NOT(ISERROR(SEARCH(("Seal"),(E1))))</formula>
    </cfRule>
  </conditionalFormatting>
  <conditionalFormatting sqref="E1:G1">
    <cfRule type="containsText" dxfId="49" priority="24" operator="containsText" text="Hare">
      <formula>NOT(ISERROR(SEARCH(("Hare"),(E1))))</formula>
    </cfRule>
  </conditionalFormatting>
  <conditionalFormatting sqref="E1:G1">
    <cfRule type="containsText" dxfId="51" priority="25" operator="containsText" text="Unranked">
      <formula>NOT(ISERROR(SEARCH(("Unranked"),(E1))))</formula>
    </cfRule>
  </conditionalFormatting>
  <conditionalFormatting sqref="E1:G1">
    <cfRule type="containsText" dxfId="53" priority="26" operator="containsText" text="Mammoth">
      <formula>NOT(ISERROR(SEARCH(("Mammoth"),(E1))))</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5" width="13.63"/>
    <col customWidth="1" min="16" max="16" width="1.63"/>
    <col customWidth="1" min="17" max="18" width="15.0"/>
  </cols>
  <sheetData>
    <row r="1" ht="27.0" customHeight="1">
      <c r="A1" s="2" t="s">
        <v>2</v>
      </c>
      <c r="D1" s="2"/>
      <c r="E1" s="3" t="str">
        <f>irank!A1</f>
        <v>Unranked</v>
      </c>
      <c r="H1" s="8" t="str">
        <f>"Playlist Code: "</f>
        <v>Playlist Code: </v>
      </c>
      <c r="J1" s="13" t="s">
        <v>5</v>
      </c>
      <c r="P1" s="13"/>
      <c r="Q1" s="14"/>
    </row>
    <row r="2" ht="25.5" customHeight="1">
      <c r="A2" s="19"/>
      <c r="B2" s="25"/>
      <c r="C2" s="28" t="s">
        <v>9</v>
      </c>
      <c r="D2" s="36">
        <f>round((sum(irank!D2:irank!D37)*100),0)</f>
        <v>0</v>
      </c>
      <c r="E2" s="28" t="str">
        <f>" High Score"</f>
        <v> High Score</v>
      </c>
      <c r="G2" s="28" t="s">
        <v>10</v>
      </c>
      <c r="H2" s="43" t="s">
        <v>17</v>
      </c>
      <c r="I2" s="49" t="s">
        <v>27</v>
      </c>
      <c r="J2" s="56" t="s">
        <v>35</v>
      </c>
      <c r="K2" s="60" t="s">
        <v>41</v>
      </c>
      <c r="L2" s="64" t="s">
        <v>44</v>
      </c>
      <c r="M2" s="71" t="s">
        <v>45</v>
      </c>
      <c r="N2" s="74" t="s">
        <v>51</v>
      </c>
      <c r="O2" s="75" t="s">
        <v>55</v>
      </c>
      <c r="P2" s="76"/>
      <c r="Q2" s="77" t="s">
        <v>56</v>
      </c>
      <c r="R2" s="78" t="s">
        <v>40</v>
      </c>
    </row>
    <row r="3" ht="25.5" customHeight="1">
      <c r="A3" s="79" t="s">
        <v>37</v>
      </c>
      <c r="B3" s="80" t="s">
        <v>39</v>
      </c>
      <c r="C3" s="61" t="str">
        <f>IFERROR(__xludf.DUMMYFUNCTION("importrange(""https://docs.google.com/spreadsheets/d/1k3XRRwn-mAbvb3rXIODFPrsnkgSEfh0xg1EWJICcSPo/edit?usp=sharing"",""Intermediate!C3:C38"")"),"WhisphereRawControl")</f>
        <v>WhisphereRawControl</v>
      </c>
      <c r="D3" s="63" t="str">
        <f>round(irank!$D2*100,0)&amp;"%"</f>
        <v>0%</v>
      </c>
      <c r="E3" s="67"/>
      <c r="F3" s="72"/>
      <c r="G3" s="81" t="str">
        <f>IFERROR(__xludf.DUMMYFUNCTION("sparkline(
  F3 - choose(match(F3, {0, H3:O3}), 0, H3, I3, J3, K3, L3, M3, N3, O3),
  {
    ""charttype"", ""bar"";
    ""max"", choose(match(F3, {0, H3:O3}), H3, I3-H3, J3-I3, K3-J3, L3-K3, M3-L3, N3-M3, O3-N3, 0);
    ""nan"", ""ignore"";
    ""color1"""&amp;", iferror(choose(match(F3, {0, H3:O3}),
      ""#CE3D30"",
      ""#F85939"",
      ""#F1C338"",
      ""#9CFF91"",
      ""#02A4D3"",
      ""#C2C2FF"",
      ""#5C3896"",
      ""#C74375"",
      ""#C74375""
    ))
  }
)"),"")</f>
        <v/>
      </c>
      <c r="H3" s="82">
        <f>IFERROR(__xludf.DUMMYFUNCTION("importrange(""https://docs.google.com/spreadsheets/d/1k3XRRwn-mAbvb3rXIODFPrsnkgSEfh0xg1EWJICcSPo/edit?gid=0#gid=0"",""Intermediate!D3:N38"")"),5300.0)</f>
        <v>5300</v>
      </c>
      <c r="I3" s="85">
        <f>IFERROR(__xludf.DUMMYFUNCTION("""COMPUTED_VALUE"""),6700.0)</f>
        <v>6700</v>
      </c>
      <c r="J3" s="95">
        <f>IFERROR(__xludf.DUMMYFUNCTION("""COMPUTED_VALUE"""),7600.0)</f>
        <v>7600</v>
      </c>
      <c r="K3" s="98">
        <f>IFERROR(__xludf.DUMMYFUNCTION("""COMPUTED_VALUE"""),8800.0)</f>
        <v>8800</v>
      </c>
      <c r="L3" s="101">
        <f>IFERROR(__xludf.DUMMYFUNCTION("""COMPUTED_VALUE"""),10000.0)</f>
        <v>10000</v>
      </c>
      <c r="M3" s="104">
        <f>IFERROR(__xludf.DUMMYFUNCTION("""COMPUTED_VALUE"""),10900.0)</f>
        <v>10900</v>
      </c>
      <c r="N3" s="107">
        <f>IFERROR(__xludf.DUMMYFUNCTION("""COMPUTED_VALUE"""),11800.0)</f>
        <v>11800</v>
      </c>
      <c r="O3" s="111">
        <f>IFERROR(__xludf.DUMMYFUNCTION("""COMPUTED_VALUE"""),13000.0)</f>
        <v>13000</v>
      </c>
      <c r="P3" s="76"/>
      <c r="Q3" s="112">
        <f>IFERROR(__xludf.DUMMYFUNCTION("""COMPUTED_VALUE"""),12408.0)</f>
        <v>12408</v>
      </c>
      <c r="R3" s="113">
        <f>IFERROR(__xludf.DUMMYFUNCTION("""COMPUTED_VALUE"""),14739.0)</f>
        <v>14739</v>
      </c>
    </row>
    <row r="4" ht="25.5" customHeight="1">
      <c r="C4" s="61" t="str">
        <f>IFERROR(__xludf.DUMMYFUNCTION("""COMPUTED_VALUE"""),"Whisphere  ")</f>
        <v>Whisphere  </v>
      </c>
      <c r="D4" s="63" t="str">
        <f>round(irank!$D3*100,0)&amp;"%"</f>
        <v>0%</v>
      </c>
      <c r="E4" s="67"/>
      <c r="F4" s="72"/>
      <c r="G4" s="81" t="str">
        <f>IFERROR(__xludf.DUMMYFUNCTION("sparkline(
  F4 - choose(match(F4, {0, H4:O4}), 0, H4, I4, J4, K4, L4, M4, N4, O4),
  {
    ""charttype"", ""bar"";
    ""max"", choose(match(F4, {0, H4:O4}), H4, I4-H4, J4-I4, K4-J4, L4-K4, M4-L4, N4-M4, O4-N4, 0);
    ""nan"", ""ignore"";
    ""color1"""&amp;", iferror(choose(match(F4, {0, H4:O4}),
      ""#CE3D30"",
      ""#F85939"",
      ""#F1C338"",
      ""#9CFF91"",
      ""#02A4D3"",
      ""#C2C2FF"",
      ""#5C3896"",
      ""#C74375"",
      ""#C74375""
    ))
  }
)"),"")</f>
        <v/>
      </c>
      <c r="H4" s="82">
        <f>IFERROR(__xludf.DUMMYFUNCTION("""COMPUTED_VALUE"""),5750.0)</f>
        <v>5750</v>
      </c>
      <c r="I4" s="85">
        <f>IFERROR(__xludf.DUMMYFUNCTION("""COMPUTED_VALUE"""),8250.0)</f>
        <v>8250</v>
      </c>
      <c r="J4" s="95">
        <f>IFERROR(__xludf.DUMMYFUNCTION("""COMPUTED_VALUE"""),10750.0)</f>
        <v>10750</v>
      </c>
      <c r="K4" s="98">
        <f>IFERROR(__xludf.DUMMYFUNCTION("""COMPUTED_VALUE"""),13250.0)</f>
        <v>13250</v>
      </c>
      <c r="L4" s="101">
        <f>IFERROR(__xludf.DUMMYFUNCTION("""COMPUTED_VALUE"""),15250.0)</f>
        <v>15250</v>
      </c>
      <c r="M4" s="104">
        <f>IFERROR(__xludf.DUMMYFUNCTION("""COMPUTED_VALUE"""),17250.0)</f>
        <v>17250</v>
      </c>
      <c r="N4" s="107">
        <f>IFERROR(__xludf.DUMMYFUNCTION("""COMPUTED_VALUE"""),19250.0)</f>
        <v>19250</v>
      </c>
      <c r="O4" s="111">
        <f>IFERROR(__xludf.DUMMYFUNCTION("""COMPUTED_VALUE"""),20500.0)</f>
        <v>20500</v>
      </c>
      <c r="P4" s="76"/>
      <c r="Q4" s="112">
        <f>IFERROR(__xludf.DUMMYFUNCTION("""COMPUTED_VALUE"""),18200.0)</f>
        <v>18200</v>
      </c>
      <c r="R4" s="113">
        <f>IFERROR(__xludf.DUMMYFUNCTION("""COMPUTED_VALUE"""),23410.0)</f>
        <v>23410</v>
      </c>
    </row>
    <row r="5" ht="25.5" customHeight="1">
      <c r="C5" s="61" t="str">
        <f>IFERROR(__xludf.DUMMYFUNCTION("""COMPUTED_VALUE"""),"Smoothbot Invincible Goated")</f>
        <v>Smoothbot Invincible Goated</v>
      </c>
      <c r="D5" s="63" t="str">
        <f>round(irank!$D4*100,0)&amp;"%"</f>
        <v>0%</v>
      </c>
      <c r="E5" s="67"/>
      <c r="F5" s="72"/>
      <c r="G5" s="81" t="str">
        <f>IFERROR(__xludf.DUMMYFUNCTION("sparkline(
  F5 - choose(match(F5, {0, H5:O5}), 0, H5, I5, J5, K5, L5, M5, N5, O5),
  {
    ""charttype"", ""bar"";
    ""max"", choose(match(F5, {0, H5:O5}), H5, I5-H5, J5-I5, K5-J5, L5-K5, M5-L5, N5-M5, O5-N5, 0);
    ""nan"", ""ignore"";
    ""color1"""&amp;", iferror(choose(match(F5, {0, H5:O5}),
      ""#CE3D30"",
      ""#F85939"",
      ""#F1C338"",
      ""#9CFF91"",
      ""#02A4D3"",
      ""#C2C2FF"",
      ""#5C3896"",
      ""#C74375"",
      ""#C74375""
    ))
  }
)"),"")</f>
        <v/>
      </c>
      <c r="H5" s="82">
        <f>IFERROR(__xludf.DUMMYFUNCTION("""COMPUTED_VALUE"""),1700.0)</f>
        <v>1700</v>
      </c>
      <c r="I5" s="85">
        <f>IFERROR(__xludf.DUMMYFUNCTION("""COMPUTED_VALUE"""),2200.0)</f>
        <v>2200</v>
      </c>
      <c r="J5" s="95">
        <f>IFERROR(__xludf.DUMMYFUNCTION("""COMPUTED_VALUE"""),2750.0)</f>
        <v>2750</v>
      </c>
      <c r="K5" s="98">
        <f>IFERROR(__xludf.DUMMYFUNCTION("""COMPUTED_VALUE"""),3250.0)</f>
        <v>3250</v>
      </c>
      <c r="L5" s="101">
        <f>IFERROR(__xludf.DUMMYFUNCTION("""COMPUTED_VALUE"""),3800.0)</f>
        <v>3800</v>
      </c>
      <c r="M5" s="104">
        <f>IFERROR(__xludf.DUMMYFUNCTION("""COMPUTED_VALUE"""),4300.0)</f>
        <v>4300</v>
      </c>
      <c r="N5" s="107">
        <f>IFERROR(__xludf.DUMMYFUNCTION("""COMPUTED_VALUE"""),4650.0)</f>
        <v>4650</v>
      </c>
      <c r="O5" s="111">
        <f>IFERROR(__xludf.DUMMYFUNCTION("""COMPUTED_VALUE"""),5000.0)</f>
        <v>5000</v>
      </c>
      <c r="P5" s="76"/>
      <c r="Q5" s="112">
        <f>IFERROR(__xludf.DUMMYFUNCTION("""COMPUTED_VALUE"""),4320.0)</f>
        <v>4320</v>
      </c>
      <c r="R5" s="113">
        <f>IFERROR(__xludf.DUMMYFUNCTION("""COMPUTED_VALUE"""),5538.0)</f>
        <v>5538</v>
      </c>
    </row>
    <row r="6" ht="25.5" customHeight="1">
      <c r="B6" s="80" t="s">
        <v>58</v>
      </c>
      <c r="C6" s="115" t="str">
        <f>IFERROR(__xludf.DUMMYFUNCTION("""COMPUTED_VALUE"""),"Leaptrack Goated 75% Slightly Larger")</f>
        <v>Leaptrack Goated 75% Slightly Larger</v>
      </c>
      <c r="D6" s="63" t="str">
        <f>round(irank!$D5*100,0)&amp;"%"</f>
        <v>0%</v>
      </c>
      <c r="E6" s="67"/>
      <c r="F6" s="72"/>
      <c r="G6" s="81" t="str">
        <f>IFERROR(__xludf.DUMMYFUNCTION("sparkline(
  F6 - choose(match(F6, {0, H6:O6}), 0, H6, I6, J6, K6, L6, M6, N6, O6),
  {
    ""charttype"", ""bar"";
    ""max"", choose(match(F6, {0, H6:O6}), H6, I6-H6, J6-I6, K6-J6, L6-K6, M6-L6, N6-M6, O6-N6, 0);
    ""nan"", ""ignore"";
    ""color1"""&amp;", iferror(choose(match(F6, {0, H6:O6}),
      ""#CE3D30"",
      ""#F85939"",
      ""#F1C338"",
      ""#9CFF91"",
      ""#02A4D3"",
      ""#C2C2FF"",
      ""#5C3896"",
      ""#C74375"",
      ""#C74375""
    ))
  }
)"),"")</f>
        <v/>
      </c>
      <c r="H6" s="82">
        <f>IFERROR(__xludf.DUMMYFUNCTION("""COMPUTED_VALUE"""),1400.0)</f>
        <v>1400</v>
      </c>
      <c r="I6" s="85">
        <f>IFERROR(__xludf.DUMMYFUNCTION("""COMPUTED_VALUE"""),1750.0)</f>
        <v>1750</v>
      </c>
      <c r="J6" s="95">
        <f>IFERROR(__xludf.DUMMYFUNCTION("""COMPUTED_VALUE"""),2000.0)</f>
        <v>2000</v>
      </c>
      <c r="K6" s="98">
        <f>IFERROR(__xludf.DUMMYFUNCTION("""COMPUTED_VALUE"""),2250.0)</f>
        <v>2250</v>
      </c>
      <c r="L6" s="101">
        <f>IFERROR(__xludf.DUMMYFUNCTION("""COMPUTED_VALUE"""),2500.0)</f>
        <v>2500</v>
      </c>
      <c r="M6" s="104">
        <f>IFERROR(__xludf.DUMMYFUNCTION("""COMPUTED_VALUE"""),2750.0)</f>
        <v>2750</v>
      </c>
      <c r="N6" s="107">
        <f>IFERROR(__xludf.DUMMYFUNCTION("""COMPUTED_VALUE"""),3000.0)</f>
        <v>3000</v>
      </c>
      <c r="O6" s="111">
        <f>IFERROR(__xludf.DUMMYFUNCTION("""COMPUTED_VALUE"""),3275.0)</f>
        <v>3275</v>
      </c>
      <c r="P6" s="76"/>
      <c r="Q6" s="112">
        <f>IFERROR(__xludf.DUMMYFUNCTION("""COMPUTED_VALUE"""),2841.0)</f>
        <v>2841</v>
      </c>
      <c r="R6" s="113">
        <f>IFERROR(__xludf.DUMMYFUNCTION("""COMPUTED_VALUE"""),3472.0)</f>
        <v>3472</v>
      </c>
    </row>
    <row r="7" ht="25.5" customHeight="1">
      <c r="C7" s="115" t="str">
        <f>IFERROR(__xludf.DUMMYFUNCTION("""COMPUTED_VALUE"""),"Controlsphere rAim Easy")</f>
        <v>Controlsphere rAim Easy</v>
      </c>
      <c r="D7" s="63" t="str">
        <f>round(irank!$D6*100,0)&amp;"%"</f>
        <v>0%</v>
      </c>
      <c r="E7" s="116"/>
      <c r="F7" s="72"/>
      <c r="G7" s="81" t="str">
        <f>IFERROR(__xludf.DUMMYFUNCTION("sparkline(
  F7 - choose(match(F7, {0, H7:O7}), 0, H7, I7, J7, K7, L7, M7, N7, O7),
  {
    ""charttype"", ""bar"";
    ""max"", choose(match(F7, {0, H7:O7}), H7, I7-H7, J7-I7, K7-J7, L7-K7, M7-L7, N7-M7, O7-N7, 0);
    ""nan"", ""ignore"";
    ""color1"""&amp;", iferror(choose(match(F7, {0, H7:O7}),
      ""#CE3D30"",
      ""#F85939"",
      ""#F1C338"",
      ""#9CFF91"",
      ""#02A4D3"",
      ""#C2C2FF"",
      ""#5C3896"",
      ""#C74375"",
      ""#C74375""
    ))
  }
)"),"")</f>
        <v/>
      </c>
      <c r="H7" s="82">
        <f>IFERROR(__xludf.DUMMYFUNCTION("""COMPUTED_VALUE"""),7400.0)</f>
        <v>7400</v>
      </c>
      <c r="I7" s="117">
        <f>IFERROR(__xludf.DUMMYFUNCTION("""COMPUTED_VALUE"""),8500.0)</f>
        <v>8500</v>
      </c>
      <c r="J7" s="95">
        <f>IFERROR(__xludf.DUMMYFUNCTION("""COMPUTED_VALUE"""),9600.0)</f>
        <v>9600</v>
      </c>
      <c r="K7" s="98">
        <f>IFERROR(__xludf.DUMMYFUNCTION("""COMPUTED_VALUE"""),10700.0)</f>
        <v>10700</v>
      </c>
      <c r="L7" s="101">
        <f>IFERROR(__xludf.DUMMYFUNCTION("""COMPUTED_VALUE"""),11900.0)</f>
        <v>11900</v>
      </c>
      <c r="M7" s="104">
        <f>IFERROR(__xludf.DUMMYFUNCTION("""COMPUTED_VALUE"""),13100.0)</f>
        <v>13100</v>
      </c>
      <c r="N7" s="107">
        <f>IFERROR(__xludf.DUMMYFUNCTION("""COMPUTED_VALUE"""),14300.0)</f>
        <v>14300</v>
      </c>
      <c r="O7" s="111">
        <f>IFERROR(__xludf.DUMMYFUNCTION("""COMPUTED_VALUE"""),15100.0)</f>
        <v>15100</v>
      </c>
      <c r="P7" s="76"/>
      <c r="Q7" s="112">
        <f>IFERROR(__xludf.DUMMYFUNCTION("""COMPUTED_VALUE"""),14598.0)</f>
        <v>14598</v>
      </c>
      <c r="R7" s="113">
        <f>IFERROR(__xludf.DUMMYFUNCTION("""COMPUTED_VALUE"""),15909.0)</f>
        <v>15909</v>
      </c>
    </row>
    <row r="8" ht="25.5" customHeight="1">
      <c r="C8" s="115" t="str">
        <f>IFERROR(__xludf.DUMMYFUNCTION("""COMPUTED_VALUE"""),"VT Controlsphere Novice S5 Hard")</f>
        <v>VT Controlsphere Novice S5 Hard</v>
      </c>
      <c r="D8" s="63" t="str">
        <f>round(irank!$D7*100,0)&amp;"%"</f>
        <v>0%</v>
      </c>
      <c r="E8" s="116"/>
      <c r="F8" s="72"/>
      <c r="G8" s="81" t="str">
        <f>IFERROR(__xludf.DUMMYFUNCTION("sparkline(
  F8 - choose(match(F8, {0, H8:O8}), 0, H8, I8, J8, K8, L8, M8, N8, O8),
  {
    ""charttype"", ""bar"";
    ""max"", choose(match(F8, {0, H8:O8}), H8, I8-H8, J8-I8, K8-J8, L8-K8, M8-L8, N8-M8, O8-N8, 0);
    ""nan"", ""ignore"";
    ""color1"""&amp;", iferror(choose(match(F8, {0, H8:O8}),
      ""#CE3D30"",
      ""#F85939"",
      ""#F1C338"",
      ""#9CFF91"",
      ""#02A4D3"",
      ""#C2C2FF"",
      ""#5C3896"",
      ""#C74375"",
      ""#C74375""
    ))
  }
)"),"")</f>
        <v/>
      </c>
      <c r="H8" s="82">
        <f>IFERROR(__xludf.DUMMYFUNCTION("""COMPUTED_VALUE"""),2100.0)</f>
        <v>2100</v>
      </c>
      <c r="I8" s="85">
        <f>IFERROR(__xludf.DUMMYFUNCTION("""COMPUTED_VALUE"""),2500.0)</f>
        <v>2500</v>
      </c>
      <c r="J8" s="95">
        <f>IFERROR(__xludf.DUMMYFUNCTION("""COMPUTED_VALUE"""),2950.0)</f>
        <v>2950</v>
      </c>
      <c r="K8" s="98">
        <f>IFERROR(__xludf.DUMMYFUNCTION("""COMPUTED_VALUE"""),3250.0)</f>
        <v>3250</v>
      </c>
      <c r="L8" s="101">
        <f>IFERROR(__xludf.DUMMYFUNCTION("""COMPUTED_VALUE"""),3550.0)</f>
        <v>3550</v>
      </c>
      <c r="M8" s="104">
        <f>IFERROR(__xludf.DUMMYFUNCTION("""COMPUTED_VALUE"""),3800.0)</f>
        <v>3800</v>
      </c>
      <c r="N8" s="107">
        <f>IFERROR(__xludf.DUMMYFUNCTION("""COMPUTED_VALUE"""),4100.0)</f>
        <v>4100</v>
      </c>
      <c r="O8" s="111">
        <f>IFERROR(__xludf.DUMMYFUNCTION("""COMPUTED_VALUE"""),4400.0)</f>
        <v>4400</v>
      </c>
      <c r="P8" s="76"/>
      <c r="Q8" s="112">
        <f>IFERROR(__xludf.DUMMYFUNCTION("""COMPUTED_VALUE"""),4218.0)</f>
        <v>4218</v>
      </c>
      <c r="R8" s="113">
        <f>IFERROR(__xludf.DUMMYFUNCTION("""COMPUTED_VALUE"""),4881.0)</f>
        <v>4881</v>
      </c>
    </row>
    <row r="9" ht="25.5" customHeight="1">
      <c r="B9" s="80" t="s">
        <v>59</v>
      </c>
      <c r="C9" s="61" t="str">
        <f>IFERROR(__xludf.DUMMYFUNCTION("""COMPUTED_VALUE"""),"Air Angelic 4 Voltaic Easy")</f>
        <v>Air Angelic 4 Voltaic Easy</v>
      </c>
      <c r="D9" s="63" t="str">
        <f>round(irank!$D8*100,0)&amp;"%"</f>
        <v>0%</v>
      </c>
      <c r="E9" s="116"/>
      <c r="F9" s="72"/>
      <c r="G9" s="81" t="str">
        <f>IFERROR(__xludf.DUMMYFUNCTION("sparkline(
  F9 - choose(match(F9, {0, H9:O9}), 0, H9, I9, J9, K9, L9, M9, N9, O9),
  {
    ""charttype"", ""bar"";
    ""max"", choose(match(F9, {0, H9:O9}), H9, I9-H9, J9-I9, K9-J9, L9-K9, M9-L9, N9-M9, O9-N9, 0);
    ""nan"", ""ignore"";
    ""color1"""&amp;", iferror(choose(match(F9, {0, H9:O9}),
      ""#CE3D30"",
      ""#F85939"",
      ""#F1C338"",
      ""#9CFF91"",
      ""#02A4D3"",
      ""#C2C2FF"",
      ""#5C3896"",
      ""#C74375"",
      ""#C74375""
    ))
  }
)"),"")</f>
        <v/>
      </c>
      <c r="H9" s="82">
        <f>IFERROR(__xludf.DUMMYFUNCTION("""COMPUTED_VALUE"""),1900.0)</f>
        <v>1900</v>
      </c>
      <c r="I9" s="85">
        <f>IFERROR(__xludf.DUMMYFUNCTION("""COMPUTED_VALUE"""),2300.0)</f>
        <v>2300</v>
      </c>
      <c r="J9" s="95">
        <f>IFERROR(__xludf.DUMMYFUNCTION("""COMPUTED_VALUE"""),2650.0)</f>
        <v>2650</v>
      </c>
      <c r="K9" s="98">
        <f>IFERROR(__xludf.DUMMYFUNCTION("""COMPUTED_VALUE"""),3000.0)</f>
        <v>3000</v>
      </c>
      <c r="L9" s="101">
        <f>IFERROR(__xludf.DUMMYFUNCTION("""COMPUTED_VALUE"""),3400.0)</f>
        <v>3400</v>
      </c>
      <c r="M9" s="104">
        <f>IFERROR(__xludf.DUMMYFUNCTION("""COMPUTED_VALUE"""),3750.0)</f>
        <v>3750</v>
      </c>
      <c r="N9" s="107">
        <f>IFERROR(__xludf.DUMMYFUNCTION("""COMPUTED_VALUE"""),4100.0)</f>
        <v>4100</v>
      </c>
      <c r="O9" s="111">
        <f>IFERROR(__xludf.DUMMYFUNCTION("""COMPUTED_VALUE"""),4450.0)</f>
        <v>4450</v>
      </c>
      <c r="P9" s="76"/>
      <c r="Q9" s="112">
        <f>IFERROR(__xludf.DUMMYFUNCTION("""COMPUTED_VALUE"""),4295.0)</f>
        <v>4295</v>
      </c>
      <c r="R9" s="113">
        <f>IFERROR(__xludf.DUMMYFUNCTION("""COMPUTED_VALUE"""),4995.0)</f>
        <v>4995</v>
      </c>
    </row>
    <row r="10" ht="25.5" customHeight="1">
      <c r="C10" s="61" t="str">
        <f>IFERROR(__xludf.DUMMYFUNCTION("""COMPUTED_VALUE"""),"Cloverrawcontrol Easy")</f>
        <v>Cloverrawcontrol Easy</v>
      </c>
      <c r="D10" s="63" t="str">
        <f>round(irank!$D9*100,0)&amp;"%"</f>
        <v>0%</v>
      </c>
      <c r="E10" s="116"/>
      <c r="F10" s="72"/>
      <c r="G10" s="81" t="str">
        <f>IFERROR(__xludf.DUMMYFUNCTION("sparkline(
  F10 - choose(match(F10, {0, H10:O10}), 0, H10, I10, J10, K10, L10, M10, N10, O10),
  {
    ""charttype"", ""bar"";
    ""max"", choose(match(F10, {0, H10:O10}), H10, I10-H10, J10-I10, K10-J10, L10-K10, M10-L10, N10-M10, O10-N10, 0);
    ""nan"&amp;""", ""ignore"";
    ""color1"", iferror(choose(match(F10, {0, H10:O10}),
      ""#CE3D30"",
      ""#F85939"",
      ""#F1C338"",
      ""#9CFF91"",
      ""#02A4D3"",
      ""#C2C2FF"",
      ""#5C3896"",
      ""#C74375"",
      ""#C74375""
    ))
  }
)"),"")</f>
        <v/>
      </c>
      <c r="H10" s="82">
        <f>IFERROR(__xludf.DUMMYFUNCTION("""COMPUTED_VALUE"""),5000.0)</f>
        <v>5000</v>
      </c>
      <c r="I10" s="85">
        <f>IFERROR(__xludf.DUMMYFUNCTION("""COMPUTED_VALUE"""),6100.0)</f>
        <v>6100</v>
      </c>
      <c r="J10" s="95">
        <f>IFERROR(__xludf.DUMMYFUNCTION("""COMPUTED_VALUE"""),7000.0)</f>
        <v>7000</v>
      </c>
      <c r="K10" s="98">
        <f>IFERROR(__xludf.DUMMYFUNCTION("""COMPUTED_VALUE"""),8100.0)</f>
        <v>8100</v>
      </c>
      <c r="L10" s="101">
        <f>IFERROR(__xludf.DUMMYFUNCTION("""COMPUTED_VALUE"""),9200.0)</f>
        <v>9200</v>
      </c>
      <c r="M10" s="104">
        <f>IFERROR(__xludf.DUMMYFUNCTION("""COMPUTED_VALUE"""),10100.0)</f>
        <v>10100</v>
      </c>
      <c r="N10" s="107">
        <f>IFERROR(__xludf.DUMMYFUNCTION("""COMPUTED_VALUE"""),10900.0)</f>
        <v>10900</v>
      </c>
      <c r="O10" s="111">
        <f>IFERROR(__xludf.DUMMYFUNCTION("""COMPUTED_VALUE"""),11700.0)</f>
        <v>11700</v>
      </c>
      <c r="P10" s="76"/>
      <c r="Q10" s="112">
        <f>IFERROR(__xludf.DUMMYFUNCTION("""COMPUTED_VALUE"""),12084.0)</f>
        <v>12084</v>
      </c>
      <c r="R10" s="113">
        <f>IFERROR(__xludf.DUMMYFUNCTION("""COMPUTED_VALUE"""),13788.0)</f>
        <v>13788</v>
      </c>
    </row>
    <row r="11" ht="25.5" customHeight="1">
      <c r="C11" s="61" t="str">
        <f>IFERROR(__xludf.DUMMYFUNCTION("""COMPUTED_VALUE"""),"Controlsphere Far Larger")</f>
        <v>Controlsphere Far Larger</v>
      </c>
      <c r="D11" s="63" t="str">
        <f>round(irank!$D10*100,0)&amp;"%"</f>
        <v>0%</v>
      </c>
      <c r="E11" s="116"/>
      <c r="F11" s="72"/>
      <c r="G11" s="81" t="str">
        <f>IFERROR(__xludf.DUMMYFUNCTION("sparkline(
  F11 - choose(match(F11, {0, H11:O11}), 0, H11, I11, J11, K11, L11, M11, N11, O11),
  {
    ""charttype"", ""bar"";
    ""max"", choose(match(F11, {0, H11:O11}), H11, I11-H11, J11-I11, K11-J11, L11-K11, M11-L11, N11-M11, O11-N11, 0);
    ""nan"&amp;""", ""ignore"";
    ""color1"", iferror(choose(match(F11, {0, H11:O11}),
      ""#CE3D30"",
      ""#F85939"",
      ""#F1C338"",
      ""#9CFF91"",
      ""#02A4D3"",
      ""#C2C2FF"",
      ""#5C3896"",
      ""#C74375"",
      ""#C74375""
    ))
  }
)"),"")</f>
        <v/>
      </c>
      <c r="H11" s="82">
        <f>IFERROR(__xludf.DUMMYFUNCTION("""COMPUTED_VALUE"""),7800.0)</f>
        <v>7800</v>
      </c>
      <c r="I11" s="85">
        <f>IFERROR(__xludf.DUMMYFUNCTION("""COMPUTED_VALUE"""),8600.0)</f>
        <v>8600</v>
      </c>
      <c r="J11" s="95">
        <f>IFERROR(__xludf.DUMMYFUNCTION("""COMPUTED_VALUE"""),9300.0)</f>
        <v>9300</v>
      </c>
      <c r="K11" s="98">
        <f>IFERROR(__xludf.DUMMYFUNCTION("""COMPUTED_VALUE"""),10000.0)</f>
        <v>10000</v>
      </c>
      <c r="L11" s="101">
        <f>IFERROR(__xludf.DUMMYFUNCTION("""COMPUTED_VALUE"""),10800.0)</f>
        <v>10800</v>
      </c>
      <c r="M11" s="104">
        <f>IFERROR(__xludf.DUMMYFUNCTION("""COMPUTED_VALUE"""),11700.0)</f>
        <v>11700</v>
      </c>
      <c r="N11" s="107">
        <f>IFERROR(__xludf.DUMMYFUNCTION("""COMPUTED_VALUE"""),12700.0)</f>
        <v>12700</v>
      </c>
      <c r="O11" s="111">
        <f>IFERROR(__xludf.DUMMYFUNCTION("""COMPUTED_VALUE"""),13600.0)</f>
        <v>13600</v>
      </c>
      <c r="P11" s="76"/>
      <c r="Q11" s="112">
        <f>IFERROR(__xludf.DUMMYFUNCTION("""COMPUTED_VALUE"""),14319.0)</f>
        <v>14319</v>
      </c>
      <c r="R11" s="113">
        <f>IFERROR(__xludf.DUMMYFUNCTION("""COMPUTED_VALUE"""),14823.0)</f>
        <v>14823</v>
      </c>
    </row>
    <row r="12" ht="25.5" customHeight="1">
      <c r="B12" s="80" t="s">
        <v>60</v>
      </c>
      <c r="C12" s="115" t="str">
        <f>IFERROR(__xludf.DUMMYFUNCTION("""COMPUTED_VALUE"""),"PGTI Voltaic Easy")</f>
        <v>PGTI Voltaic Easy</v>
      </c>
      <c r="D12" s="63" t="str">
        <f>round(irank!$D11*100,0)&amp;"%"</f>
        <v>0%</v>
      </c>
      <c r="E12" s="116"/>
      <c r="F12" s="72"/>
      <c r="G12" s="81" t="str">
        <f>IFERROR(__xludf.DUMMYFUNCTION("sparkline(
  F12 - choose(match(F12, {0, H12:O12}), 0, H12, I12, J12, K12, L12, M12, N12, O12),
  {
    ""charttype"", ""bar"";
    ""max"", choose(match(F12, {0, H12:O12}), H12, I12-H12, J12-I12, K12-J12, L12-K12, M12-L12, N12-M12, O12-N12, 0);
    ""nan"&amp;""", ""ignore"";
    ""color1"", iferror(choose(match(F12, {0, H12:O12}),
      ""#CE3D30"",
      ""#F85939"",
      ""#F1C338"",
      ""#9CFF91"",
      ""#02A4D3"",
      ""#C2C2FF"",
      ""#5C3896"",
      ""#C74375"",
      ""#C74375""
    ))
  }
)"),"")</f>
        <v/>
      </c>
      <c r="H12" s="82">
        <f>IFERROR(__xludf.DUMMYFUNCTION("""COMPUTED_VALUE"""),800.0)</f>
        <v>800</v>
      </c>
      <c r="I12" s="85">
        <f>IFERROR(__xludf.DUMMYFUNCTION("""COMPUTED_VALUE"""),1100.0)</f>
        <v>1100</v>
      </c>
      <c r="J12" s="95">
        <f>IFERROR(__xludf.DUMMYFUNCTION("""COMPUTED_VALUE"""),1400.0)</f>
        <v>1400</v>
      </c>
      <c r="K12" s="98">
        <f>IFERROR(__xludf.DUMMYFUNCTION("""COMPUTED_VALUE"""),1700.0)</f>
        <v>1700</v>
      </c>
      <c r="L12" s="101">
        <f>IFERROR(__xludf.DUMMYFUNCTION("""COMPUTED_VALUE"""),2000.0)</f>
        <v>2000</v>
      </c>
      <c r="M12" s="104">
        <f>IFERROR(__xludf.DUMMYFUNCTION("""COMPUTED_VALUE"""),2300.0)</f>
        <v>2300</v>
      </c>
      <c r="N12" s="107">
        <f>IFERROR(__xludf.DUMMYFUNCTION("""COMPUTED_VALUE"""),2750.0)</f>
        <v>2750</v>
      </c>
      <c r="O12" s="111">
        <f>IFERROR(__xludf.DUMMYFUNCTION("""COMPUTED_VALUE"""),3200.0)</f>
        <v>3200</v>
      </c>
      <c r="P12" s="76"/>
      <c r="Q12" s="112">
        <f>IFERROR(__xludf.DUMMYFUNCTION("""COMPUTED_VALUE"""),2639.0)</f>
        <v>2639</v>
      </c>
      <c r="R12" s="113">
        <f>IFERROR(__xludf.DUMMYFUNCTION("""COMPUTED_VALUE"""),3950.0)</f>
        <v>3950</v>
      </c>
    </row>
    <row r="13" ht="25.5" customHeight="1">
      <c r="C13" s="115" t="str">
        <f>IFERROR(__xludf.DUMMYFUNCTION("""COMPUTED_VALUE"""),"Air CELESTIAL No UFO Easy")</f>
        <v>Air CELESTIAL No UFO Easy</v>
      </c>
      <c r="D13" s="63" t="str">
        <f>round(irank!$D12*100,0)&amp;"%"</f>
        <v>0%</v>
      </c>
      <c r="E13" s="116"/>
      <c r="F13" s="72"/>
      <c r="G13" s="81" t="str">
        <f>IFERROR(__xludf.DUMMYFUNCTION("sparkline(
  F13 - choose(match(F13, {0, H13:O13}), 0, H13, I13, J13, K13, L13, M13, N13, O13),
  {
    ""charttype"", ""bar"";
    ""max"", choose(match(F13, {0, H13:O13}), H13, I13-H13, J13-I13, K13-J13, L13-K13, M13-L13, N13-M13, O13-N13, 0);
    ""nan"&amp;""", ""ignore"";
    ""color1"", iferror(choose(match(F13, {0, H13:O13}),
      ""#CE3D30"",
      ""#F85939"",
      ""#F1C338"",
      ""#9CFF91"",
      ""#02A4D3"",
      ""#C2C2FF"",
      ""#5C3896"",
      ""#C74375"",
      ""#C74375""
    ))
  }
)"),"")</f>
        <v/>
      </c>
      <c r="H13" s="126">
        <f>IFERROR(__xludf.DUMMYFUNCTION("""COMPUTED_VALUE"""),825.0)</f>
        <v>825</v>
      </c>
      <c r="I13" s="127">
        <f>IFERROR(__xludf.DUMMYFUNCTION("""COMPUTED_VALUE"""),840.0)</f>
        <v>840</v>
      </c>
      <c r="J13" s="128">
        <f>IFERROR(__xludf.DUMMYFUNCTION("""COMPUTED_VALUE"""),855.0)</f>
        <v>855</v>
      </c>
      <c r="K13" s="129">
        <f>IFERROR(__xludf.DUMMYFUNCTION("""COMPUTED_VALUE"""),865.0)</f>
        <v>865</v>
      </c>
      <c r="L13" s="130">
        <f>IFERROR(__xludf.DUMMYFUNCTION("""COMPUTED_VALUE"""),881.0)</f>
        <v>881</v>
      </c>
      <c r="M13" s="131">
        <f>IFERROR(__xludf.DUMMYFUNCTION("""COMPUTED_VALUE"""),890.0)</f>
        <v>890</v>
      </c>
      <c r="N13" s="107">
        <f>IFERROR(__xludf.DUMMYFUNCTION("""COMPUTED_VALUE"""),902.0)</f>
        <v>902</v>
      </c>
      <c r="O13" s="134">
        <f>IFERROR(__xludf.DUMMYFUNCTION("""COMPUTED_VALUE"""),908.0)</f>
        <v>908</v>
      </c>
      <c r="P13" s="76"/>
      <c r="Q13" s="112">
        <f>IFERROR(__xludf.DUMMYFUNCTION("""COMPUTED_VALUE"""),897.0)</f>
        <v>897</v>
      </c>
      <c r="R13" s="136">
        <f>IFERROR(__xludf.DUMMYFUNCTION("""COMPUTED_VALUE"""),919.11)</f>
        <v>919.11</v>
      </c>
    </row>
    <row r="14" ht="25.5" customHeight="1">
      <c r="C14" s="115" t="str">
        <f>IFERROR(__xludf.DUMMYFUNCTION("""COMPUTED_VALUE"""),"Whisphere Small &amp; Slow 75%")</f>
        <v>Whisphere Small &amp; Slow 75%</v>
      </c>
      <c r="D14" s="63" t="str">
        <f>round(irank!$D13*100,0)&amp;"%"</f>
        <v>0%</v>
      </c>
      <c r="E14" s="116"/>
      <c r="F14" s="72"/>
      <c r="G14" s="81" t="str">
        <f>IFERROR(__xludf.DUMMYFUNCTION("sparkline(
  F14 - choose(match(F14, {0, H14:O14}), 0, H14, I14, J14, K14, L14, M14, N14, O14),
  {
    ""charttype"", ""bar"";
    ""max"", choose(match(F14, {0, H14:O14}), H14, I14-H14, J14-I14, K14-J14, L14-K14, M14-L14, N14-M14, O14-N14, 0);
    ""nan"&amp;""", ""ignore"";
    ""color1"", iferror(choose(match(F14, {0, H14:O14}),
      ""#CE3D30"",
      ""#F85939"",
      ""#F1C338"",
      ""#9CFF91"",
      ""#02A4D3"",
      ""#C2C2FF"",
      ""#5C3896"",
      ""#C74375"",
      ""#C74375""
    ))
  }
)"),"")</f>
        <v/>
      </c>
      <c r="H14" s="82">
        <f>IFERROR(__xludf.DUMMYFUNCTION("""COMPUTED_VALUE"""),5500.0)</f>
        <v>5500</v>
      </c>
      <c r="I14" s="85">
        <f>IFERROR(__xludf.DUMMYFUNCTION("""COMPUTED_VALUE"""),7500.0)</f>
        <v>7500</v>
      </c>
      <c r="J14" s="95">
        <f>IFERROR(__xludf.DUMMYFUNCTION("""COMPUTED_VALUE"""),9500.0)</f>
        <v>9500</v>
      </c>
      <c r="K14" s="98">
        <f>IFERROR(__xludf.DUMMYFUNCTION("""COMPUTED_VALUE"""),11500.0)</f>
        <v>11500</v>
      </c>
      <c r="L14" s="101">
        <f>IFERROR(__xludf.DUMMYFUNCTION("""COMPUTED_VALUE"""),13500.0)</f>
        <v>13500</v>
      </c>
      <c r="M14" s="104">
        <f>IFERROR(__xludf.DUMMYFUNCTION("""COMPUTED_VALUE"""),15500.0)</f>
        <v>15500</v>
      </c>
      <c r="N14" s="107">
        <f>IFERROR(__xludf.DUMMYFUNCTION("""COMPUTED_VALUE"""),17500.0)</f>
        <v>17500</v>
      </c>
      <c r="O14" s="111">
        <f>IFERROR(__xludf.DUMMYFUNCTION("""COMPUTED_VALUE"""),19000.0)</f>
        <v>19000</v>
      </c>
      <c r="P14" s="76"/>
      <c r="Q14" s="112">
        <f>IFERROR(__xludf.DUMMYFUNCTION("""COMPUTED_VALUE"""),17820.0)</f>
        <v>17820</v>
      </c>
      <c r="R14" s="113">
        <f>IFERROR(__xludf.DUMMYFUNCTION("""COMPUTED_VALUE"""),20300.0)</f>
        <v>20300</v>
      </c>
    </row>
    <row r="15" ht="25.5" customHeight="1">
      <c r="A15" s="79" t="s">
        <v>61</v>
      </c>
      <c r="B15" s="80" t="s">
        <v>62</v>
      </c>
      <c r="C15" s="61" t="str">
        <f>IFERROR(__xludf.DUMMYFUNCTION("""COMPUTED_VALUE"""),"Ground Plaza Sparky v3")</f>
        <v>Ground Plaza Sparky v3</v>
      </c>
      <c r="D15" s="63" t="str">
        <f>round(irank!$D14*100,0)&amp;"%"</f>
        <v>0%</v>
      </c>
      <c r="E15" s="135"/>
      <c r="F15" s="72"/>
      <c r="G15" s="81" t="str">
        <f>IFERROR(__xludf.DUMMYFUNCTION("sparkline(
  F15 - choose(match(F15, {0, H15:O15}), 0, H15, I15, J15, K15, L15, M15, N15, O15),
  {
    ""charttype"", ""bar"";
    ""max"", choose(match(F15, {0, H15:O15}), H15, I15-H15, J15-I15, K15-J15, L15-K15, M15-L15, N15-M15, O15-N15, 0);
    ""nan"&amp;""", ""ignore"";
    ""color1"", iferror(choose(match(F15, {0, H15:O15}),
      ""#CE3D30"",
      ""#F85939"",
      ""#F1C338"",
      ""#9CFF91"",
      ""#02A4D3"",
      ""#C2C2FF"",
      ""#5C3896"",
      ""#C74375"",
      ""#C74375""
    ))
  }
)"),"")</f>
        <v/>
      </c>
      <c r="H15" s="82">
        <f>IFERROR(__xludf.DUMMYFUNCTION("""COMPUTED_VALUE"""),862.0)</f>
        <v>862</v>
      </c>
      <c r="I15" s="85">
        <f>IFERROR(__xludf.DUMMYFUNCTION("""COMPUTED_VALUE"""),872.0)</f>
        <v>872</v>
      </c>
      <c r="J15" s="95">
        <f>IFERROR(__xludf.DUMMYFUNCTION("""COMPUTED_VALUE"""),882.0)</f>
        <v>882</v>
      </c>
      <c r="K15" s="98">
        <f>IFERROR(__xludf.DUMMYFUNCTION("""COMPUTED_VALUE"""),888.0)</f>
        <v>888</v>
      </c>
      <c r="L15" s="101">
        <f>IFERROR(__xludf.DUMMYFUNCTION("""COMPUTED_VALUE"""),894.0)</f>
        <v>894</v>
      </c>
      <c r="M15" s="104">
        <f>IFERROR(__xludf.DUMMYFUNCTION("""COMPUTED_VALUE"""),900.0)</f>
        <v>900</v>
      </c>
      <c r="N15" s="107">
        <f>IFERROR(__xludf.DUMMYFUNCTION("""COMPUTED_VALUE"""),905.0)</f>
        <v>905</v>
      </c>
      <c r="O15" s="111">
        <f>IFERROR(__xludf.DUMMYFUNCTION("""COMPUTED_VALUE"""),909.0)</f>
        <v>909</v>
      </c>
      <c r="P15" s="76"/>
      <c r="Q15" s="112">
        <f>IFERROR(__xludf.DUMMYFUNCTION("""COMPUTED_VALUE"""),904.3)</f>
        <v>904.3</v>
      </c>
      <c r="R15" s="113">
        <f>IFERROR(__xludf.DUMMYFUNCTION("""COMPUTED_VALUE"""),916.0)</f>
        <v>916</v>
      </c>
    </row>
    <row r="16" ht="25.5" customHeight="1">
      <c r="C16" s="61" t="str">
        <f>IFERROR(__xludf.DUMMYFUNCTION("""COMPUTED_VALUE"""),"Controlsphere OW")</f>
        <v>Controlsphere OW</v>
      </c>
      <c r="D16" s="63" t="str">
        <f>round(irank!$D15*100,0)&amp;"%"</f>
        <v>0%</v>
      </c>
      <c r="E16" s="135"/>
      <c r="F16" s="72"/>
      <c r="G16" s="81" t="str">
        <f>IFERROR(__xludf.DUMMYFUNCTION("sparkline(
  F16 - choose(match(F16, {0, H16:O16}), 0, H16, I16, J16, K16, L16, M16, N16, O16),
  {
    ""charttype"", ""bar"";
    ""max"", choose(match(F16, {0, H16:O16}), H16, I16-H16, J16-I16, K16-J16, L16-K16, M16-L16, N16-M16, O16-N16, 0);
    ""nan"&amp;""", ""ignore"";
    ""color1"", iferror(choose(match(F16, {0, H16:O16}),
      ""#CE3D30"",
      ""#F85939"",
      ""#F1C338"",
      ""#9CFF91"",
      ""#02A4D3"",
      ""#C2C2FF"",
      ""#5C3896"",
      ""#C74375"",
      ""#C74375""
    ))
  }
)"),"")</f>
        <v/>
      </c>
      <c r="H16" s="82">
        <f>IFERROR(__xludf.DUMMYFUNCTION("""COMPUTED_VALUE"""),4800.0)</f>
        <v>4800</v>
      </c>
      <c r="I16" s="85">
        <f>IFERROR(__xludf.DUMMYFUNCTION("""COMPUTED_VALUE"""),5700.0)</f>
        <v>5700</v>
      </c>
      <c r="J16" s="95">
        <f>IFERROR(__xludf.DUMMYFUNCTION("""COMPUTED_VALUE"""),6400.0)</f>
        <v>6400</v>
      </c>
      <c r="K16" s="98">
        <f>IFERROR(__xludf.DUMMYFUNCTION("""COMPUTED_VALUE"""),7300.0)</f>
        <v>7300</v>
      </c>
      <c r="L16" s="101">
        <f>IFERROR(__xludf.DUMMYFUNCTION("""COMPUTED_VALUE"""),8100.0)</f>
        <v>8100</v>
      </c>
      <c r="M16" s="104">
        <f>IFERROR(__xludf.DUMMYFUNCTION("""COMPUTED_VALUE"""),8900.0)</f>
        <v>8900</v>
      </c>
      <c r="N16" s="107">
        <f>IFERROR(__xludf.DUMMYFUNCTION("""COMPUTED_VALUE"""),9800.0)</f>
        <v>9800</v>
      </c>
      <c r="O16" s="111">
        <f>IFERROR(__xludf.DUMMYFUNCTION("""COMPUTED_VALUE"""),10500.0)</f>
        <v>10500</v>
      </c>
      <c r="P16" s="76"/>
      <c r="Q16" s="112">
        <f>IFERROR(__xludf.DUMMYFUNCTION("""COMPUTED_VALUE"""),9906.0)</f>
        <v>9906</v>
      </c>
      <c r="R16" s="113">
        <f>IFERROR(__xludf.DUMMYFUNCTION("""COMPUTED_VALUE"""),11670.0)</f>
        <v>11670</v>
      </c>
    </row>
    <row r="17" ht="25.5" customHeight="1">
      <c r="B17" s="80" t="s">
        <v>63</v>
      </c>
      <c r="C17" s="115" t="str">
        <f>IFERROR(__xludf.DUMMYFUNCTION("""COMPUTED_VALUE"""),"Flicker Plaza rAim Easy")</f>
        <v>Flicker Plaza rAim Easy</v>
      </c>
      <c r="D17" s="63" t="str">
        <f>round(irank!$D16*100,0)&amp;"%"</f>
        <v>0%</v>
      </c>
      <c r="E17" s="135"/>
      <c r="F17" s="72"/>
      <c r="G17" s="81" t="str">
        <f>IFERROR(__xludf.DUMMYFUNCTION("sparkline(
  F17 - choose(match(F17, {0, H17:O17}), 0, H17, I17, J17, K17, L17, M17, N17, O17),
  {
    ""charttype"", ""bar"";
    ""max"", choose(match(F17, {0, H17:O17}), H17, I17-H17, J17-I17, K17-J17, L17-K17, M17-L17, N17-M17, O17-N17, 0);
    ""nan"&amp;""", ""ignore"";
    ""color1"", iferror(choose(match(F17, {0, H17:O17}),
      ""#CE3D30"",
      ""#F85939"",
      ""#F1C338"",
      ""#9CFF91"",
      ""#02A4D3"",
      ""#C2C2FF"",
      ""#5C3896"",
      ""#C74375"",
      ""#C74375""
    ))
  }
)"),"")</f>
        <v/>
      </c>
      <c r="H17" s="126">
        <f>IFERROR(__xludf.DUMMYFUNCTION("""COMPUTED_VALUE"""),860.0)</f>
        <v>860</v>
      </c>
      <c r="I17" s="127">
        <f>IFERROR(__xludf.DUMMYFUNCTION("""COMPUTED_VALUE"""),870.0)</f>
        <v>870</v>
      </c>
      <c r="J17" s="128">
        <f>IFERROR(__xludf.DUMMYFUNCTION("""COMPUTED_VALUE"""),881.0)</f>
        <v>881</v>
      </c>
      <c r="K17" s="129">
        <f>IFERROR(__xludf.DUMMYFUNCTION("""COMPUTED_VALUE"""),891.0)</f>
        <v>891</v>
      </c>
      <c r="L17" s="130">
        <f>IFERROR(__xludf.DUMMYFUNCTION("""COMPUTED_VALUE"""),900.0)</f>
        <v>900</v>
      </c>
      <c r="M17" s="131">
        <f>IFERROR(__xludf.DUMMYFUNCTION("""COMPUTED_VALUE"""),908.0)</f>
        <v>908</v>
      </c>
      <c r="N17" s="107">
        <f>IFERROR(__xludf.DUMMYFUNCTION("""COMPUTED_VALUE"""),913.0)</f>
        <v>913</v>
      </c>
      <c r="O17" s="134">
        <f>IFERROR(__xludf.DUMMYFUNCTION("""COMPUTED_VALUE"""),917.0)</f>
        <v>917</v>
      </c>
      <c r="P17" s="76"/>
      <c r="Q17" s="112">
        <f>IFERROR(__xludf.DUMMYFUNCTION("""COMPUTED_VALUE"""),910.0)</f>
        <v>910</v>
      </c>
      <c r="R17" s="136">
        <f>IFERROR(__xludf.DUMMYFUNCTION("""COMPUTED_VALUE"""),928.7)</f>
        <v>928.7</v>
      </c>
    </row>
    <row r="18" ht="25.5" customHeight="1">
      <c r="C18" s="115" t="str">
        <f>IFERROR(__xludf.DUMMYFUNCTION("""COMPUTED_VALUE"""),"Polarized Hell Easy 20% Slower")</f>
        <v>Polarized Hell Easy 20% Slower</v>
      </c>
      <c r="D18" s="63" t="str">
        <f>round(irank!$D17*100,0)&amp;"%"</f>
        <v>0%</v>
      </c>
      <c r="E18" s="135"/>
      <c r="F18" s="72"/>
      <c r="G18" s="81" t="str">
        <f>IFERROR(__xludf.DUMMYFUNCTION("sparkline(
  F18 - choose(match(F18, {0, H18:O18}), 0, H18, I18, J18, K18, L18, M18, N18, O18),
  {
    ""charttype"", ""bar"";
    ""max"", choose(match(F18, {0, H18:O18}), H18, I18-H18, J18-I18, K18-J18, L18-K18, M18-L18, N18-M18, O18-N18, 0);
    ""nan"&amp;""", ""ignore"";
    ""color1"", iferror(choose(match(F18, {0, H18:O18}),
      ""#CE3D30"",
      ""#F85939"",
      ""#F1C338"",
      ""#9CFF91"",
      ""#02A4D3"",
      ""#C2C2FF"",
      ""#5C3896"",
      ""#C74375"",
      ""#C74375""
    ))
  }
)"),"")</f>
        <v/>
      </c>
      <c r="H18" s="82">
        <f>IFERROR(__xludf.DUMMYFUNCTION("""COMPUTED_VALUE"""),1600.0)</f>
        <v>1600</v>
      </c>
      <c r="I18" s="85">
        <f>IFERROR(__xludf.DUMMYFUNCTION("""COMPUTED_VALUE"""),1850.0)</f>
        <v>1850</v>
      </c>
      <c r="J18" s="95">
        <f>IFERROR(__xludf.DUMMYFUNCTION("""COMPUTED_VALUE"""),2100.0)</f>
        <v>2100</v>
      </c>
      <c r="K18" s="98">
        <f>IFERROR(__xludf.DUMMYFUNCTION("""COMPUTED_VALUE"""),2350.0)</f>
        <v>2350</v>
      </c>
      <c r="L18" s="101">
        <f>IFERROR(__xludf.DUMMYFUNCTION("""COMPUTED_VALUE"""),2600.0)</f>
        <v>2600</v>
      </c>
      <c r="M18" s="104">
        <f>IFERROR(__xludf.DUMMYFUNCTION("""COMPUTED_VALUE"""),2850.0)</f>
        <v>2850</v>
      </c>
      <c r="N18" s="107">
        <f>IFERROR(__xludf.DUMMYFUNCTION("""COMPUTED_VALUE"""),3150.0)</f>
        <v>3150</v>
      </c>
      <c r="O18" s="111">
        <f>IFERROR(__xludf.DUMMYFUNCTION("""COMPUTED_VALUE"""),3350.0)</f>
        <v>3350</v>
      </c>
      <c r="P18" s="76"/>
      <c r="Q18" s="112">
        <f>IFERROR(__xludf.DUMMYFUNCTION("""COMPUTED_VALUE"""),2873.0)</f>
        <v>2873</v>
      </c>
      <c r="R18" s="113">
        <f>IFERROR(__xludf.DUMMYFUNCTION("""COMPUTED_VALUE"""),3557.0)</f>
        <v>3557</v>
      </c>
    </row>
    <row r="19" ht="25.5" customHeight="1">
      <c r="B19" s="80" t="s">
        <v>64</v>
      </c>
      <c r="C19" s="61" t="str">
        <f>IFERROR(__xludf.DUMMYFUNCTION("""COMPUTED_VALUE"""),"Air Pure Intermediate")</f>
        <v>Air Pure Intermediate</v>
      </c>
      <c r="D19" s="63" t="str">
        <f>round(irank!$D18*100,0)&amp;"%"</f>
        <v>0%</v>
      </c>
      <c r="E19" s="135"/>
      <c r="F19" s="72"/>
      <c r="G19" s="81" t="str">
        <f>IFERROR(__xludf.DUMMYFUNCTION("sparkline(
  F19 - choose(match(F19, {0, H19:O19}), 0, H19, I19, J19, K19, L19, M19, N19, O19),
  {
    ""charttype"", ""bar"";
    ""max"", choose(match(F19, {0, H19:O19}), H19, I19-H19, J19-I19, K19-J19, L19-K19, M19-L19, N19-M19, O19-N19, 0);
    ""nan"&amp;""", ""ignore"";
    ""color1"", iferror(choose(match(F19, {0, H19:O19}),
      ""#CE3D30"",
      ""#F85939"",
      ""#F1C338"",
      ""#9CFF91"",
      ""#02A4D3"",
      ""#C2C2FF"",
      ""#5C3896"",
      ""#C74375"",
      ""#C74375""
    ))
  }
)"),"")</f>
        <v/>
      </c>
      <c r="H19" s="126">
        <f>IFERROR(__xludf.DUMMYFUNCTION("""COMPUTED_VALUE"""),847.0)</f>
        <v>847</v>
      </c>
      <c r="I19" s="127">
        <f>IFERROR(__xludf.DUMMYFUNCTION("""COMPUTED_VALUE"""),862.0)</f>
        <v>862</v>
      </c>
      <c r="J19" s="128">
        <f>IFERROR(__xludf.DUMMYFUNCTION("""COMPUTED_VALUE"""),876.0)</f>
        <v>876</v>
      </c>
      <c r="K19" s="129">
        <f>IFERROR(__xludf.DUMMYFUNCTION("""COMPUTED_VALUE"""),886.0)</f>
        <v>886</v>
      </c>
      <c r="L19" s="130">
        <f>IFERROR(__xludf.DUMMYFUNCTION("""COMPUTED_VALUE"""),895.0)</f>
        <v>895</v>
      </c>
      <c r="M19" s="131">
        <f>IFERROR(__xludf.DUMMYFUNCTION("""COMPUTED_VALUE"""),902.0)</f>
        <v>902</v>
      </c>
      <c r="N19" s="107">
        <f>IFERROR(__xludf.DUMMYFUNCTION("""COMPUTED_VALUE"""),906.0)</f>
        <v>906</v>
      </c>
      <c r="O19" s="134">
        <f>IFERROR(__xludf.DUMMYFUNCTION("""COMPUTED_VALUE"""),910.0)</f>
        <v>910</v>
      </c>
      <c r="P19" s="76"/>
      <c r="Q19" s="112">
        <f>IFERROR(__xludf.DUMMYFUNCTION("""COMPUTED_VALUE"""),906.25)</f>
        <v>906.25</v>
      </c>
      <c r="R19" s="150">
        <f>IFERROR(__xludf.DUMMYFUNCTION("""COMPUTED_VALUE"""),922.0)</f>
        <v>922</v>
      </c>
    </row>
    <row r="20" ht="25.5" customHeight="1">
      <c r="C20" s="61" t="str">
        <f>IFERROR(__xludf.DUMMYFUNCTION("""COMPUTED_VALUE"""),"Air Voltaic Easy Invincible 4")</f>
        <v>Air Voltaic Easy Invincible 4</v>
      </c>
      <c r="D20" s="63" t="str">
        <f>round(irank!$D19*100,0)&amp;"%"</f>
        <v>0%</v>
      </c>
      <c r="E20" s="135"/>
      <c r="F20" s="72"/>
      <c r="G20" s="81" t="str">
        <f>IFERROR(__xludf.DUMMYFUNCTION("sparkline(
  F20 - choose(match(F20, {0, H20:O20}), 0, H20, I20, J20, K20, L20, M20, N20, O20),
  {
    ""charttype"", ""bar"";
    ""max"", choose(match(F20, {0, H20:O20}), H20, I20-H20, J20-I20, K20-J20, L20-K20, M20-L20, N20-M20, O20-N20, 0);
    ""nan"&amp;""", ""ignore"";
    ""color1"", iferror(choose(match(F20, {0, H20:O20}),
      ""#CE3D30"",
      ""#F85939"",
      ""#F1C338"",
      ""#9CFF91"",
      ""#02A4D3"",
      ""#C2C2FF"",
      ""#5C3896"",
      ""#C74375"",
      ""#C74375""
    ))
  }
)"),"")</f>
        <v/>
      </c>
      <c r="H20" s="82">
        <f>IFERROR(__xludf.DUMMYFUNCTION("""COMPUTED_VALUE"""),1800.0)</f>
        <v>1800</v>
      </c>
      <c r="I20" s="85">
        <f>IFERROR(__xludf.DUMMYFUNCTION("""COMPUTED_VALUE"""),2150.0)</f>
        <v>2150</v>
      </c>
      <c r="J20" s="95">
        <f>IFERROR(__xludf.DUMMYFUNCTION("""COMPUTED_VALUE"""),2500.0)</f>
        <v>2500</v>
      </c>
      <c r="K20" s="98">
        <f>IFERROR(__xludf.DUMMYFUNCTION("""COMPUTED_VALUE"""),2950.0)</f>
        <v>2950</v>
      </c>
      <c r="L20" s="101">
        <f>IFERROR(__xludf.DUMMYFUNCTION("""COMPUTED_VALUE"""),3350.0)</f>
        <v>3350</v>
      </c>
      <c r="M20" s="104">
        <f>IFERROR(__xludf.DUMMYFUNCTION("""COMPUTED_VALUE"""),3750.0)</f>
        <v>3750</v>
      </c>
      <c r="N20" s="107">
        <f>IFERROR(__xludf.DUMMYFUNCTION("""COMPUTED_VALUE"""),4150.0)</f>
        <v>4150</v>
      </c>
      <c r="O20" s="111">
        <f>IFERROR(__xludf.DUMMYFUNCTION("""COMPUTED_VALUE"""),4450.0)</f>
        <v>4450</v>
      </c>
      <c r="P20" s="76"/>
      <c r="Q20" s="112">
        <f>IFERROR(__xludf.DUMMYFUNCTION("""COMPUTED_VALUE"""),4032.0)</f>
        <v>4032</v>
      </c>
      <c r="R20" s="154">
        <f>IFERROR(__xludf.DUMMYFUNCTION("""COMPUTED_VALUE"""),4918.0)</f>
        <v>4918</v>
      </c>
    </row>
    <row r="21" ht="25.5" customHeight="1">
      <c r="A21" s="79" t="s">
        <v>65</v>
      </c>
      <c r="B21" s="80" t="s">
        <v>63</v>
      </c>
      <c r="C21" s="115" t="str">
        <f>IFERROR(__xludf.DUMMYFUNCTION("""COMPUTED_VALUE"""),"Pokeball Frenzy Auto TE Wide")</f>
        <v>Pokeball Frenzy Auto TE Wide</v>
      </c>
      <c r="D21" s="63" t="str">
        <f>round(irank!$D20*100,0)&amp;"%"</f>
        <v>0%</v>
      </c>
      <c r="E21" s="146"/>
      <c r="F21" s="72"/>
      <c r="G21" s="81" t="str">
        <f>IFERROR(__xludf.DUMMYFUNCTION("sparkline(
  F21 - choose(match(F21, {0, H21:O21}), 0, H21, I21, J21, K21, L21, M21, N21, O21),
  {
    ""charttype"", ""bar"";
    ""max"", choose(match(F21, {0, H21:O21}), H21, I21-H21, J21-I21, K21-J21, L21-K21, M21-L21, N21-M21, O21-N21, 0);
    ""nan"&amp;""", ""ignore"";
    ""color1"", iferror(choose(match(F21, {0, H21:O21}),
      ""#CE3D30"",
      ""#F85939"",
      ""#F1C338"",
      ""#9CFF91"",
      ""#02A4D3"",
      ""#C2C2FF"",
      ""#5C3896"",
      ""#C74375"",
      ""#C74375""
    ))
  }
)"),"")</f>
        <v/>
      </c>
      <c r="H21" s="82">
        <f>IFERROR(__xludf.DUMMYFUNCTION("""COMPUTED_VALUE"""),1950.0)</f>
        <v>1950</v>
      </c>
      <c r="I21" s="85">
        <f>IFERROR(__xludf.DUMMYFUNCTION("""COMPUTED_VALUE"""),2250.0)</f>
        <v>2250</v>
      </c>
      <c r="J21" s="95">
        <f>IFERROR(__xludf.DUMMYFUNCTION("""COMPUTED_VALUE"""),2550.0)</f>
        <v>2550</v>
      </c>
      <c r="K21" s="98">
        <f>IFERROR(__xludf.DUMMYFUNCTION("""COMPUTED_VALUE"""),2850.0)</f>
        <v>2850</v>
      </c>
      <c r="L21" s="101">
        <f>IFERROR(__xludf.DUMMYFUNCTION("""COMPUTED_VALUE"""),3150.0)</f>
        <v>3150</v>
      </c>
      <c r="M21" s="104">
        <f>IFERROR(__xludf.DUMMYFUNCTION("""COMPUTED_VALUE"""),3400.0)</f>
        <v>3400</v>
      </c>
      <c r="N21" s="107">
        <f>IFERROR(__xludf.DUMMYFUNCTION("""COMPUTED_VALUE"""),3600.0)</f>
        <v>3600</v>
      </c>
      <c r="O21" s="111">
        <f>IFERROR(__xludf.DUMMYFUNCTION("""COMPUTED_VALUE"""),3800.0)</f>
        <v>3800</v>
      </c>
      <c r="P21" s="76"/>
      <c r="Q21" s="112">
        <f>IFERROR(__xludf.DUMMYFUNCTION("""COMPUTED_VALUE"""),3510.0)</f>
        <v>3510</v>
      </c>
      <c r="R21" s="154">
        <f>IFERROR(__xludf.DUMMYFUNCTION("""COMPUTED_VALUE"""),4560.0)</f>
        <v>4560</v>
      </c>
    </row>
    <row r="22" ht="25.5" customHeight="1">
      <c r="C22" s="115" t="str">
        <f>IFERROR(__xludf.DUMMYFUNCTION("""COMPUTED_VALUE"""),"1w3ts Reload")</f>
        <v>1w3ts Reload</v>
      </c>
      <c r="D22" s="63" t="str">
        <f>round(irank!$D21*100,0)&amp;"%"</f>
        <v>0%</v>
      </c>
      <c r="E22" s="146"/>
      <c r="F22" s="72"/>
      <c r="G22" s="81" t="str">
        <f>IFERROR(__xludf.DUMMYFUNCTION("sparkline(
  F22 - choose(match(F22, {0, H22:O22}), 0, H22, I22, J22, K22, L22, M22, N22, O22),
  {
    ""charttype"", ""bar"";
    ""max"", choose(match(F22, {0, H22:O22}), H22, I22-H22, J22-I22, K22-J22, L22-K22, M22-L22, N22-M22, O22-N22, 0);
    ""nan"&amp;""", ""ignore"";
    ""color1"", iferror(choose(match(F22, {0, H22:O22}),
      ""#CE3D30"",
      ""#F85939"",
      ""#F1C338"",
      ""#9CFF91"",
      ""#02A4D3"",
      ""#C2C2FF"",
      ""#5C3896"",
      ""#C74375"",
      ""#C74375""
    ))
  }
)"),"")</f>
        <v/>
      </c>
      <c r="H22" s="126">
        <f>IFERROR(__xludf.DUMMYFUNCTION("""COMPUTED_VALUE"""),66.0)</f>
        <v>66</v>
      </c>
      <c r="I22" s="127">
        <f>IFERROR(__xludf.DUMMYFUNCTION("""COMPUTED_VALUE"""),76.0)</f>
        <v>76</v>
      </c>
      <c r="J22" s="128">
        <f>IFERROR(__xludf.DUMMYFUNCTION("""COMPUTED_VALUE"""),86.0)</f>
        <v>86</v>
      </c>
      <c r="K22" s="129">
        <f>IFERROR(__xludf.DUMMYFUNCTION("""COMPUTED_VALUE"""),96.0)</f>
        <v>96</v>
      </c>
      <c r="L22" s="130">
        <f>IFERROR(__xludf.DUMMYFUNCTION("""COMPUTED_VALUE"""),106.0)</f>
        <v>106</v>
      </c>
      <c r="M22" s="131">
        <f>IFERROR(__xludf.DUMMYFUNCTION("""COMPUTED_VALUE"""),116.0)</f>
        <v>116</v>
      </c>
      <c r="N22" s="159">
        <f>IFERROR(__xludf.DUMMYFUNCTION("""COMPUTED_VALUE"""),126.0)</f>
        <v>126</v>
      </c>
      <c r="O22" s="134">
        <f>IFERROR(__xludf.DUMMYFUNCTION("""COMPUTED_VALUE"""),135.0)</f>
        <v>135</v>
      </c>
      <c r="P22" s="76"/>
      <c r="Q22" s="112">
        <f>IFERROR(__xludf.DUMMYFUNCTION("""COMPUTED_VALUE"""),115.0)</f>
        <v>115</v>
      </c>
      <c r="R22" s="150">
        <f>IFERROR(__xludf.DUMMYFUNCTION("""COMPUTED_VALUE"""),148.0)</f>
        <v>148</v>
      </c>
    </row>
    <row r="23" ht="25.5" customHeight="1">
      <c r="C23" s="115" t="str">
        <f>IFERROR(__xludf.DUMMYFUNCTION("""COMPUTED_VALUE"""),"voxTargetSwitch 2")</f>
        <v>voxTargetSwitch 2</v>
      </c>
      <c r="D23" s="63" t="str">
        <f>round(irank!$D22*100,0)&amp;"%"</f>
        <v>0%</v>
      </c>
      <c r="E23" s="146"/>
      <c r="F23" s="72"/>
      <c r="G23" s="81" t="str">
        <f>IFERROR(__xludf.DUMMYFUNCTION("sparkline(
  F23 - choose(match(F23, {0, H23:O23}), 0, H23, I23, J23, K23, L23, M23, N23, O23),
  {
    ""charttype"", ""bar"";
    ""max"", choose(match(F23, {0, H23:O23}), H23, I23-H23, J23-I23, K23-J23, L23-K23, M23-L23, N23-M23, O23-N23, 0);
    ""nan"&amp;""", ""ignore"";
    ""color1"", iferror(choose(match(F23, {0, H23:O23}),
      ""#CE3D30"",
      ""#F85939"",
      ""#F1C338"",
      ""#9CFF91"",
      ""#02A4D3"",
      ""#C2C2FF"",
      ""#5C3896"",
      ""#C74375"",
      ""#C74375""
    ))
  }
)"),"")</f>
        <v/>
      </c>
      <c r="H23" s="126">
        <f>IFERROR(__xludf.DUMMYFUNCTION("""COMPUTED_VALUE"""),78.0)</f>
        <v>78</v>
      </c>
      <c r="I23" s="127">
        <f>IFERROR(__xludf.DUMMYFUNCTION("""COMPUTED_VALUE"""),88.0)</f>
        <v>88</v>
      </c>
      <c r="J23" s="128">
        <f>IFERROR(__xludf.DUMMYFUNCTION("""COMPUTED_VALUE"""),98.0)</f>
        <v>98</v>
      </c>
      <c r="K23" s="129">
        <f>IFERROR(__xludf.DUMMYFUNCTION("""COMPUTED_VALUE"""),107.0)</f>
        <v>107</v>
      </c>
      <c r="L23" s="130">
        <f>IFERROR(__xludf.DUMMYFUNCTION("""COMPUTED_VALUE"""),116.0)</f>
        <v>116</v>
      </c>
      <c r="M23" s="131">
        <f>IFERROR(__xludf.DUMMYFUNCTION("""COMPUTED_VALUE"""),123.0)</f>
        <v>123</v>
      </c>
      <c r="N23" s="159">
        <f>IFERROR(__xludf.DUMMYFUNCTION("""COMPUTED_VALUE"""),130.0)</f>
        <v>130</v>
      </c>
      <c r="O23" s="134">
        <f>IFERROR(__xludf.DUMMYFUNCTION("""COMPUTED_VALUE"""),136.0)</f>
        <v>136</v>
      </c>
      <c r="P23" s="76"/>
      <c r="Q23" s="112">
        <f>IFERROR(__xludf.DUMMYFUNCTION("""COMPUTED_VALUE"""),134.0)</f>
        <v>134</v>
      </c>
      <c r="R23" s="150">
        <f>IFERROR(__xludf.DUMMYFUNCTION("""COMPUTED_VALUE"""),145.95)</f>
        <v>145.95</v>
      </c>
    </row>
    <row r="24" ht="25.5" customHeight="1">
      <c r="B24" s="80" t="s">
        <v>66</v>
      </c>
      <c r="C24" s="61" t="str">
        <f>IFERROR(__xludf.DUMMYFUNCTION("""COMPUTED_VALUE"""),"BeanTS")</f>
        <v>BeanTS</v>
      </c>
      <c r="D24" s="63" t="str">
        <f>round(irank!$D23*100,0)&amp;"%"</f>
        <v>0%</v>
      </c>
      <c r="E24" s="146"/>
      <c r="F24" s="72"/>
      <c r="G24" s="81" t="str">
        <f>IFERROR(__xludf.DUMMYFUNCTION("sparkline(
  F24 - choose(match(F24, {0, H24:O24}), 0, H24, I24, J24, K24, L24, M24, N24, O24),
  {
    ""charttype"", ""bar"";
    ""max"", choose(match(F24, {0, H24:O24}), H24, I24-H24, J24-I24, K24-J24, L24-K24, M24-L24, N24-M24, O24-N24, 0);
    ""nan"&amp;""", ""ignore"";
    ""color1"", iferror(choose(match(F24, {0, H24:O24}),
      ""#CE3D30"",
      ""#F85939"",
      ""#F1C338"",
      ""#9CFF91"",
      ""#02A4D3"",
      ""#C2C2FF"",
      ""#5C3896"",
      ""#C74375"",
      ""#C74375""
    ))
  }
)"),"")</f>
        <v/>
      </c>
      <c r="H24" s="165">
        <f>IFERROR(__xludf.DUMMYFUNCTION("""COMPUTED_VALUE"""),88.0)</f>
        <v>88</v>
      </c>
      <c r="I24" s="166">
        <f>IFERROR(__xludf.DUMMYFUNCTION("""COMPUTED_VALUE"""),103.0)</f>
        <v>103</v>
      </c>
      <c r="J24" s="167">
        <f>IFERROR(__xludf.DUMMYFUNCTION("""COMPUTED_VALUE"""),115.0)</f>
        <v>115</v>
      </c>
      <c r="K24" s="168">
        <f>IFERROR(__xludf.DUMMYFUNCTION("""COMPUTED_VALUE"""),127.0)</f>
        <v>127</v>
      </c>
      <c r="L24" s="169">
        <f>IFERROR(__xludf.DUMMYFUNCTION("""COMPUTED_VALUE"""),136.0)</f>
        <v>136</v>
      </c>
      <c r="M24" s="170">
        <f>IFERROR(__xludf.DUMMYFUNCTION("""COMPUTED_VALUE"""),143.0)</f>
        <v>143</v>
      </c>
      <c r="N24" s="159">
        <f>IFERROR(__xludf.DUMMYFUNCTION("""COMPUTED_VALUE"""),149.0)</f>
        <v>149</v>
      </c>
      <c r="O24" s="171">
        <f>IFERROR(__xludf.DUMMYFUNCTION("""COMPUTED_VALUE"""),156.0)</f>
        <v>156</v>
      </c>
      <c r="P24" s="76"/>
      <c r="Q24" s="112">
        <f>IFERROR(__xludf.DUMMYFUNCTION("""COMPUTED_VALUE"""),156.0)</f>
        <v>156</v>
      </c>
      <c r="R24" s="154">
        <f>IFERROR(__xludf.DUMMYFUNCTION("""COMPUTED_VALUE"""),170.55)</f>
        <v>170.55</v>
      </c>
    </row>
    <row r="25" ht="25.5" customHeight="1">
      <c r="C25" s="61" t="str">
        <f>IFERROR(__xludf.DUMMYFUNCTION("""COMPUTED_VALUE"""),"FloatTS Angelic Easy")</f>
        <v>FloatTS Angelic Easy</v>
      </c>
      <c r="D25" s="63" t="str">
        <f>round(irank!$D24*100,0)&amp;"%"</f>
        <v>0%</v>
      </c>
      <c r="E25" s="146"/>
      <c r="F25" s="72"/>
      <c r="G25" s="81" t="str">
        <f>IFERROR(__xludf.DUMMYFUNCTION("sparkline(
  F25 - choose(match(F25, {0, H25:O25}), 0, H25, I25, J25, K25, L25, M25, N25, O25),
  {
    ""charttype"", ""bar"";
    ""max"", choose(match(F25, {0, H25:O25}), H25, I25-H25, J25-I25, K25-J25, L25-K25, M25-L25, N25-M25, O25-N25, 0);
    ""nan"&amp;""", ""ignore"";
    ""color1"", iferror(choose(match(F25, {0, H25:O25}),
      ""#CE3D30"",
      ""#F85939"",
      ""#F1C338"",
      ""#9CFF91"",
      ""#02A4D3"",
      ""#C2C2FF"",
      ""#5C3896"",
      ""#C74375"",
      ""#C74375""
    ))
  }
)"),"")</f>
        <v/>
      </c>
      <c r="H25" s="82">
        <f>IFERROR(__xludf.DUMMYFUNCTION("""COMPUTED_VALUE"""),70.0)</f>
        <v>70</v>
      </c>
      <c r="I25" s="85">
        <f>IFERROR(__xludf.DUMMYFUNCTION("""COMPUTED_VALUE"""),79.0)</f>
        <v>79</v>
      </c>
      <c r="J25" s="95">
        <f>IFERROR(__xludf.DUMMYFUNCTION("""COMPUTED_VALUE"""),86.0)</f>
        <v>86</v>
      </c>
      <c r="K25" s="98">
        <f>IFERROR(__xludf.DUMMYFUNCTION("""COMPUTED_VALUE"""),93.0)</f>
        <v>93</v>
      </c>
      <c r="L25" s="101">
        <f>IFERROR(__xludf.DUMMYFUNCTION("""COMPUTED_VALUE"""),100.0)</f>
        <v>100</v>
      </c>
      <c r="M25" s="104">
        <f>IFERROR(__xludf.DUMMYFUNCTION("""COMPUTED_VALUE"""),107.0)</f>
        <v>107</v>
      </c>
      <c r="N25" s="107">
        <f>IFERROR(__xludf.DUMMYFUNCTION("""COMPUTED_VALUE"""),115.0)</f>
        <v>115</v>
      </c>
      <c r="O25" s="111">
        <f>IFERROR(__xludf.DUMMYFUNCTION("""COMPUTED_VALUE"""),123.0)</f>
        <v>123</v>
      </c>
      <c r="P25" s="76"/>
      <c r="Q25" s="112">
        <f>IFERROR(__xludf.DUMMYFUNCTION("""COMPUTED_VALUE"""),124.85)</f>
        <v>124.85</v>
      </c>
      <c r="R25" s="154">
        <f>IFERROR(__xludf.DUMMYFUNCTION("""COMPUTED_VALUE"""),134.0)</f>
        <v>134</v>
      </c>
    </row>
    <row r="26" ht="25.5" customHeight="1">
      <c r="B26" s="80" t="s">
        <v>67</v>
      </c>
      <c r="C26" s="115" t="str">
        <f>IFERROR(__xludf.DUMMYFUNCTION("""COMPUTED_VALUE"""),"WaldoTS Intermediate")</f>
        <v>WaldoTS Intermediate</v>
      </c>
      <c r="D26" s="63" t="str">
        <f>round(irank!$D25*100,0)&amp;"%"</f>
        <v>0%</v>
      </c>
      <c r="E26" s="146"/>
      <c r="F26" s="72"/>
      <c r="G26" s="81" t="str">
        <f>IFERROR(__xludf.DUMMYFUNCTION("sparkline(
  F26 - choose(match(F26, {0, H26:O26}), 0, H26, I26, J26, K26, L26, M26, N26, O26),
  {
    ""charttype"", ""bar"";
    ""max"", choose(match(F26, {0, H26:O26}), H26, I26-H26, J26-I26, K26-J26, L26-K26, M26-L26, N26-M26, O26-N26, 0);
    ""nan"&amp;""", ""ignore"";
    ""color1"", iferror(choose(match(F26, {0, H26:O26}),
      ""#CE3D30"",
      ""#F85939"",
      ""#F1C338"",
      ""#9CFF91"",
      ""#02A4D3"",
      ""#C2C2FF"",
      ""#5C3896"",
      ""#C74375"",
      ""#C74375""
    ))
  }
)"),"")</f>
        <v/>
      </c>
      <c r="H26" s="165">
        <f>IFERROR(__xludf.DUMMYFUNCTION("""COMPUTED_VALUE"""),108.0)</f>
        <v>108</v>
      </c>
      <c r="I26" s="166">
        <f>IFERROR(__xludf.DUMMYFUNCTION("""COMPUTED_VALUE"""),117.0)</f>
        <v>117</v>
      </c>
      <c r="J26" s="167">
        <f>IFERROR(__xludf.DUMMYFUNCTION("""COMPUTED_VALUE"""),126.0)</f>
        <v>126</v>
      </c>
      <c r="K26" s="168">
        <f>IFERROR(__xludf.DUMMYFUNCTION("""COMPUTED_VALUE"""),135.0)</f>
        <v>135</v>
      </c>
      <c r="L26" s="169">
        <f>IFERROR(__xludf.DUMMYFUNCTION("""COMPUTED_VALUE"""),144.0)</f>
        <v>144</v>
      </c>
      <c r="M26" s="170">
        <f>IFERROR(__xludf.DUMMYFUNCTION("""COMPUTED_VALUE"""),153.0)</f>
        <v>153</v>
      </c>
      <c r="N26" s="159">
        <f>IFERROR(__xludf.DUMMYFUNCTION("""COMPUTED_VALUE"""),162.0)</f>
        <v>162</v>
      </c>
      <c r="O26" s="171">
        <f>IFERROR(__xludf.DUMMYFUNCTION("""COMPUTED_VALUE"""),170.0)</f>
        <v>170</v>
      </c>
      <c r="P26" s="76"/>
      <c r="Q26" s="112">
        <f>IFERROR(__xludf.DUMMYFUNCTION("""COMPUTED_VALUE"""),173.0)</f>
        <v>173</v>
      </c>
      <c r="R26" s="150">
        <f>IFERROR(__xludf.DUMMYFUNCTION("""COMPUTED_VALUE"""),179.95)</f>
        <v>179.95</v>
      </c>
    </row>
    <row r="27" ht="25.5" customHeight="1">
      <c r="C27" s="115" t="str">
        <f>IFERROR(__xludf.DUMMYFUNCTION("""COMPUTED_VALUE"""),"devTS Goated NR Static 5Bot")</f>
        <v>devTS Goated NR Static 5Bot</v>
      </c>
      <c r="D27" s="63" t="str">
        <f>round(irank!$D26*100,0)&amp;"%"</f>
        <v>0%</v>
      </c>
      <c r="E27" s="146"/>
      <c r="F27" s="72"/>
      <c r="G27" s="81" t="str">
        <f>IFERROR(__xludf.DUMMYFUNCTION("sparkline(
  F27 - choose(match(F27, {0, H27:O27}), 0, H27, I27, J27, K27, L27, M27, N27, O27),
  {
    ""charttype"", ""bar"";
    ""max"", choose(match(F27, {0, H27:O27}), H27, I27-H27, J27-I27, K27-J27, L27-K27, M27-L27, N27-M27, O27-N27, 0);
    ""nan"&amp;""", ""ignore"";
    ""color1"", iferror(choose(match(F27, {0, H27:O27}),
      ""#CE3D30"",
      ""#F85939"",
      ""#F1C338"",
      ""#9CFF91"",
      ""#02A4D3"",
      ""#C2C2FF"",
      ""#5C3896"",
      ""#C74375"",
      ""#C74375""
    ))
  }
)"),"")</f>
        <v/>
      </c>
      <c r="H27" s="165">
        <f>IFERROR(__xludf.DUMMYFUNCTION("""COMPUTED_VALUE"""),600.0)</f>
        <v>600</v>
      </c>
      <c r="I27" s="166">
        <f>IFERROR(__xludf.DUMMYFUNCTION("""COMPUTED_VALUE"""),650.0)</f>
        <v>650</v>
      </c>
      <c r="J27" s="167">
        <f>IFERROR(__xludf.DUMMYFUNCTION("""COMPUTED_VALUE"""),705.0)</f>
        <v>705</v>
      </c>
      <c r="K27" s="168">
        <f>IFERROR(__xludf.DUMMYFUNCTION("""COMPUTED_VALUE"""),760.0)</f>
        <v>760</v>
      </c>
      <c r="L27" s="169">
        <f>IFERROR(__xludf.DUMMYFUNCTION("""COMPUTED_VALUE"""),810.0)</f>
        <v>810</v>
      </c>
      <c r="M27" s="170">
        <f>IFERROR(__xludf.DUMMYFUNCTION("""COMPUTED_VALUE"""),840.0)</f>
        <v>840</v>
      </c>
      <c r="N27" s="159">
        <f>IFERROR(__xludf.DUMMYFUNCTION("""COMPUTED_VALUE"""),870.0)</f>
        <v>870</v>
      </c>
      <c r="O27" s="171">
        <f>IFERROR(__xludf.DUMMYFUNCTION("""COMPUTED_VALUE"""),900.0)</f>
        <v>900</v>
      </c>
      <c r="P27" s="76"/>
      <c r="Q27" s="112">
        <f>IFERROR(__xludf.DUMMYFUNCTION("""COMPUTED_VALUE"""),904.0)</f>
        <v>904</v>
      </c>
      <c r="R27" s="150">
        <f>IFERROR(__xludf.DUMMYFUNCTION("""COMPUTED_VALUE"""),937.0)</f>
        <v>937</v>
      </c>
    </row>
    <row r="28" ht="25.5" customHeight="1">
      <c r="B28" s="80" t="s">
        <v>68</v>
      </c>
      <c r="C28" s="61" t="str">
        <f>IFERROR(__xludf.DUMMYFUNCTION("""COMPUTED_VALUE"""),"domiSwitch Easy")</f>
        <v>domiSwitch Easy</v>
      </c>
      <c r="D28" s="63" t="str">
        <f>round(irank!$D27*100,0)&amp;"%"</f>
        <v>0%</v>
      </c>
      <c r="E28" s="146"/>
      <c r="F28" s="72"/>
      <c r="G28" s="81" t="str">
        <f>IFERROR(__xludf.DUMMYFUNCTION("sparkline(
  F28 - choose(match(F28, {0, H28:O28}), 0, H28, I28, J28, K28, L28, M28, N28, O28),
  {
    ""charttype"", ""bar"";
    ""max"", choose(match(F28, {0, H28:O28}), H28, I28-H28, J28-I28, K28-J28, L28-K28, M28-L28, N28-M28, O28-N28, 0);
    ""nan"&amp;""", ""ignore"";
    ""color1"", iferror(choose(match(F28, {0, H28:O28}),
      ""#CE3D30"",
      ""#F85939"",
      ""#F1C338"",
      ""#9CFF91"",
      ""#02A4D3"",
      ""#C2C2FF"",
      ""#5C3896"",
      ""#C74375"",
      ""#C74375""
    ))
  }
)"),"")</f>
        <v/>
      </c>
      <c r="H28" s="178">
        <f>IFERROR(__xludf.DUMMYFUNCTION("""COMPUTED_VALUE"""),4200.0)</f>
        <v>4200</v>
      </c>
      <c r="I28" s="179">
        <f>IFERROR(__xludf.DUMMYFUNCTION("""COMPUTED_VALUE"""),4700.0)</f>
        <v>4700</v>
      </c>
      <c r="J28" s="180">
        <f>IFERROR(__xludf.DUMMYFUNCTION("""COMPUTED_VALUE"""),5200.0)</f>
        <v>5200</v>
      </c>
      <c r="K28" s="181">
        <f>IFERROR(__xludf.DUMMYFUNCTION("""COMPUTED_VALUE"""),5700.0)</f>
        <v>5700</v>
      </c>
      <c r="L28" s="182">
        <f>IFERROR(__xludf.DUMMYFUNCTION("""COMPUTED_VALUE"""),6150.0)</f>
        <v>6150</v>
      </c>
      <c r="M28" s="183">
        <f>IFERROR(__xludf.DUMMYFUNCTION("""COMPUTED_VALUE"""),6600.0)</f>
        <v>6600</v>
      </c>
      <c r="N28" s="107">
        <f>IFERROR(__xludf.DUMMYFUNCTION("""COMPUTED_VALUE"""),7100.0)</f>
        <v>7100</v>
      </c>
      <c r="O28" s="184">
        <f>IFERROR(__xludf.DUMMYFUNCTION("""COMPUTED_VALUE"""),7600.0)</f>
        <v>7600</v>
      </c>
      <c r="P28" s="76"/>
      <c r="Q28" s="112">
        <f>IFERROR(__xludf.DUMMYFUNCTION("""COMPUTED_VALUE"""),7003.0)</f>
        <v>7003</v>
      </c>
      <c r="R28" s="154">
        <f>IFERROR(__xludf.DUMMYFUNCTION("""COMPUTED_VALUE"""),8206.0)</f>
        <v>8206</v>
      </c>
    </row>
    <row r="29" ht="25.5" customHeight="1">
      <c r="C29" s="61" t="str">
        <f>IFERROR(__xludf.DUMMYFUNCTION("""COMPUTED_VALUE"""),"tamTargetSwitch Smooth Easy")</f>
        <v>tamTargetSwitch Smooth Easy</v>
      </c>
      <c r="D29" s="63" t="str">
        <f>round(irank!$D28*100,0)&amp;"%"</f>
        <v>0%</v>
      </c>
      <c r="E29" s="146"/>
      <c r="F29" s="72"/>
      <c r="G29" s="81" t="str">
        <f>IFERROR(__xludf.DUMMYFUNCTION("sparkline(
  F29 - choose(match(F29, {0, H29:O29}), 0, H29, I29, J29, K29, L29, M29, N29, O29),
  {
    ""charttype"", ""bar"";
    ""max"", choose(match(F29, {0, H29:O29}), H29, I29-H29, J29-I29, K29-J29, L29-K29, M29-L29, N29-M29, O29-N29, 0);
    ""nan"&amp;""", ""ignore"";
    ""color1"", iferror(choose(match(F29, {0, H29:O29}),
      ""#CE3D30"",
      ""#F85939"",
      ""#F1C338"",
      ""#9CFF91"",
      ""#02A4D3"",
      ""#C2C2FF"",
      ""#5C3896"",
      ""#C74375"",
      ""#C74375""
    ))
  }
)"),"")</f>
        <v/>
      </c>
      <c r="H29" s="165">
        <f>IFERROR(__xludf.DUMMYFUNCTION("""COMPUTED_VALUE"""),22.0)</f>
        <v>22</v>
      </c>
      <c r="I29" s="166">
        <f>IFERROR(__xludf.DUMMYFUNCTION("""COMPUTED_VALUE"""),26.0)</f>
        <v>26</v>
      </c>
      <c r="J29" s="167">
        <f>IFERROR(__xludf.DUMMYFUNCTION("""COMPUTED_VALUE"""),29.0)</f>
        <v>29</v>
      </c>
      <c r="K29" s="168">
        <f>IFERROR(__xludf.DUMMYFUNCTION("""COMPUTED_VALUE"""),32.0)</f>
        <v>32</v>
      </c>
      <c r="L29" s="169">
        <f>IFERROR(__xludf.DUMMYFUNCTION("""COMPUTED_VALUE"""),34.0)</f>
        <v>34</v>
      </c>
      <c r="M29" s="170">
        <f>IFERROR(__xludf.DUMMYFUNCTION("""COMPUTED_VALUE"""),36.0)</f>
        <v>36</v>
      </c>
      <c r="N29" s="159">
        <f>IFERROR(__xludf.DUMMYFUNCTION("""COMPUTED_VALUE"""),38.0)</f>
        <v>38</v>
      </c>
      <c r="O29" s="171">
        <f>IFERROR(__xludf.DUMMYFUNCTION("""COMPUTED_VALUE"""),41.0)</f>
        <v>41</v>
      </c>
      <c r="P29" s="76"/>
      <c r="Q29" s="112">
        <f>IFERROR(__xludf.DUMMYFUNCTION("""COMPUTED_VALUE"""),40.0)</f>
        <v>40</v>
      </c>
      <c r="R29" s="150">
        <f>IFERROR(__xludf.DUMMYFUNCTION("""COMPUTED_VALUE"""),42.0)</f>
        <v>42</v>
      </c>
    </row>
    <row r="30" ht="25.5" customHeight="1">
      <c r="A30" s="79" t="s">
        <v>73</v>
      </c>
      <c r="B30" s="80" t="s">
        <v>64</v>
      </c>
      <c r="C30" s="115" t="str">
        <f>IFERROR(__xludf.DUMMYFUNCTION("""COMPUTED_VALUE"""),"1wall5targets_pasu Reload")</f>
        <v>1wall5targets_pasu Reload</v>
      </c>
      <c r="D30" s="63" t="str">
        <f>round(irank!$D29*100,0)&amp;"%"</f>
        <v>0%</v>
      </c>
      <c r="E30" s="146"/>
      <c r="F30" s="72"/>
      <c r="G30" s="81" t="str">
        <f>IFERROR(__xludf.DUMMYFUNCTION("sparkline(
  F30 - choose(match(F30, {0, H30:O30}), 0, H30, I30, J30, K30, L30, M30, N30, O30),
  {
    ""charttype"", ""bar"";
    ""max"", choose(match(F30, {0, H30:O30}), H30, I30-H30, J30-I30, K30-J30, L30-K30, M30-L30, N30-M30, O30-N30, 0);
    ""nan"&amp;""", ""ignore"";
    ""color1"", iferror(choose(match(F30, {0, H30:O30}),
      ""#CE3D30"",
      ""#F85939"",
      ""#F1C338"",
      ""#9CFF91"",
      ""#02A4D3"",
      ""#C2C2FF"",
      ""#5C3896"",
      ""#C74375"",
      ""#C74375""
    ))
  }
)"),"")</f>
        <v/>
      </c>
      <c r="H30" s="165">
        <f>IFERROR(__xludf.DUMMYFUNCTION("""COMPUTED_VALUE"""),70.0)</f>
        <v>70</v>
      </c>
      <c r="I30" s="166">
        <f>IFERROR(__xludf.DUMMYFUNCTION("""COMPUTED_VALUE"""),85.0)</f>
        <v>85</v>
      </c>
      <c r="J30" s="167">
        <f>IFERROR(__xludf.DUMMYFUNCTION("""COMPUTED_VALUE"""),100.0)</f>
        <v>100</v>
      </c>
      <c r="K30" s="168">
        <f>IFERROR(__xludf.DUMMYFUNCTION("""COMPUTED_VALUE"""),115.0)</f>
        <v>115</v>
      </c>
      <c r="L30" s="169">
        <f>IFERROR(__xludf.DUMMYFUNCTION("""COMPUTED_VALUE"""),130.0)</f>
        <v>130</v>
      </c>
      <c r="M30" s="170">
        <f>IFERROR(__xludf.DUMMYFUNCTION("""COMPUTED_VALUE"""),142.0)</f>
        <v>142</v>
      </c>
      <c r="N30" s="159">
        <f>IFERROR(__xludf.DUMMYFUNCTION("""COMPUTED_VALUE"""),155.0)</f>
        <v>155</v>
      </c>
      <c r="O30" s="171">
        <f>IFERROR(__xludf.DUMMYFUNCTION("""COMPUTED_VALUE"""),165.0)</f>
        <v>165</v>
      </c>
      <c r="P30" s="76"/>
      <c r="Q30" s="112">
        <f>IFERROR(__xludf.DUMMYFUNCTION("""COMPUTED_VALUE"""),154.0)</f>
        <v>154</v>
      </c>
      <c r="R30" s="150">
        <f>IFERROR(__xludf.DUMMYFUNCTION("""COMPUTED_VALUE"""),196.0)</f>
        <v>196</v>
      </c>
    </row>
    <row r="31" ht="25.5" customHeight="1">
      <c r="C31" s="115" t="str">
        <f>IFERROR(__xludf.DUMMYFUNCTION("""COMPUTED_VALUE"""),"VT Bounceshot Intermediate")</f>
        <v>VT Bounceshot Intermediate</v>
      </c>
      <c r="D31" s="63" t="str">
        <f>round(irank!$D30*100,0)&amp;"%"</f>
        <v>0%</v>
      </c>
      <c r="E31" s="146"/>
      <c r="F31" s="72"/>
      <c r="G31" s="81" t="str">
        <f>IFERROR(__xludf.DUMMYFUNCTION("sparkline(
  F31 - choose(match(F31, {0, H31:O31}), 0, H31, I31, J31, K31, L31, M31, N31, O31),
  {
    ""charttype"", ""bar"";
    ""max"", choose(match(F31, {0, H31:O31}), H31, I31-H31, J31-I31, K31-J31, L31-K31, M31-L31, N31-M31, O31-N31, 0);
    ""nan"&amp;""", ""ignore"";
    ""color1"", iferror(choose(match(F31, {0, H31:O31}),
      ""#CE3D30"",
      ""#F85939"",
      ""#F1C338"",
      ""#9CFF91"",
      ""#02A4D3"",
      ""#C2C2FF"",
      ""#5C3896"",
      ""#C74375"",
      ""#C74375""
    ))
  }
)"),"")</f>
        <v/>
      </c>
      <c r="H31" s="165">
        <f>IFERROR(__xludf.DUMMYFUNCTION("""COMPUTED_VALUE"""),550.0)</f>
        <v>550</v>
      </c>
      <c r="I31" s="166">
        <f>IFERROR(__xludf.DUMMYFUNCTION("""COMPUTED_VALUE"""),640.0)</f>
        <v>640</v>
      </c>
      <c r="J31" s="167">
        <f>IFERROR(__xludf.DUMMYFUNCTION("""COMPUTED_VALUE"""),720.0)</f>
        <v>720</v>
      </c>
      <c r="K31" s="168">
        <f>IFERROR(__xludf.DUMMYFUNCTION("""COMPUTED_VALUE"""),780.0)</f>
        <v>780</v>
      </c>
      <c r="L31" s="169">
        <f>IFERROR(__xludf.DUMMYFUNCTION("""COMPUTED_VALUE"""),850.0)</f>
        <v>850</v>
      </c>
      <c r="M31" s="170">
        <f>IFERROR(__xludf.DUMMYFUNCTION("""COMPUTED_VALUE"""),900.0)</f>
        <v>900</v>
      </c>
      <c r="N31" s="159">
        <f>IFERROR(__xludf.DUMMYFUNCTION("""COMPUTED_VALUE"""),980.0)</f>
        <v>980</v>
      </c>
      <c r="O31" s="171">
        <f>IFERROR(__xludf.DUMMYFUNCTION("""COMPUTED_VALUE"""),1060.0)</f>
        <v>1060</v>
      </c>
      <c r="P31" s="76"/>
      <c r="Q31" s="112">
        <f>IFERROR(__xludf.DUMMYFUNCTION("""COMPUTED_VALUE"""),950.0)</f>
        <v>950</v>
      </c>
      <c r="R31" s="154">
        <f>IFERROR(__xludf.DUMMYFUNCTION("""COMPUTED_VALUE"""),1180.0)</f>
        <v>1180</v>
      </c>
    </row>
    <row r="32" ht="25.5" customHeight="1">
      <c r="C32" s="115" t="str">
        <f>IFERROR(__xludf.DUMMYFUNCTION("""COMPUTED_VALUE"""),"Controlsphere Click")</f>
        <v>Controlsphere Click</v>
      </c>
      <c r="D32" s="63" t="str">
        <f>round(irank!$D31*100,0)&amp;"%"</f>
        <v>0%</v>
      </c>
      <c r="E32" s="146"/>
      <c r="F32" s="72"/>
      <c r="G32" s="81" t="str">
        <f>IFERROR(__xludf.DUMMYFUNCTION("sparkline(
  F32 - choose(match(F32, {0, H32:O32}), 0, H32, I32, J32, K32, L32, M32, N32, O32),
  {
    ""charttype"", ""bar"";
    ""max"", choose(match(F32, {0, H32:O32}), H32, I32-H32, J32-I32, K32-J32, L32-K32, M32-L32, N32-M32, O32-N32, 0);
    ""nan"&amp;""", ""ignore"";
    ""color1"", iferror(choose(match(F32, {0, H32:O32}),
      ""#CE3D30"",
      ""#F85939"",
      ""#F1C338"",
      ""#9CFF91"",
      ""#02A4D3"",
      ""#C2C2FF"",
      ""#5C3896"",
      ""#C74375"",
      ""#C74375""
    ))
  }
)"),"")</f>
        <v/>
      </c>
      <c r="H32" s="165">
        <f>IFERROR(__xludf.DUMMYFUNCTION("""COMPUTED_VALUE"""),27.0)</f>
        <v>27</v>
      </c>
      <c r="I32" s="166">
        <f>IFERROR(__xludf.DUMMYFUNCTION("""COMPUTED_VALUE"""),33.0)</f>
        <v>33</v>
      </c>
      <c r="J32" s="167">
        <f>IFERROR(__xludf.DUMMYFUNCTION("""COMPUTED_VALUE"""),39.0)</f>
        <v>39</v>
      </c>
      <c r="K32" s="168">
        <f>IFERROR(__xludf.DUMMYFUNCTION("""COMPUTED_VALUE"""),45.0)</f>
        <v>45</v>
      </c>
      <c r="L32" s="169">
        <f>IFERROR(__xludf.DUMMYFUNCTION("""COMPUTED_VALUE"""),50.0)</f>
        <v>50</v>
      </c>
      <c r="M32" s="170">
        <f>IFERROR(__xludf.DUMMYFUNCTION("""COMPUTED_VALUE"""),56.0)</f>
        <v>56</v>
      </c>
      <c r="N32" s="159">
        <f>IFERROR(__xludf.DUMMYFUNCTION("""COMPUTED_VALUE"""),61.0)</f>
        <v>61</v>
      </c>
      <c r="O32" s="171">
        <f>IFERROR(__xludf.DUMMYFUNCTION("""COMPUTED_VALUE"""),67.0)</f>
        <v>67</v>
      </c>
      <c r="P32" s="76"/>
      <c r="Q32" s="112">
        <f>IFERROR(__xludf.DUMMYFUNCTION("""COMPUTED_VALUE"""),60.0)</f>
        <v>60</v>
      </c>
      <c r="R32" s="150">
        <f>IFERROR(__xludf.DUMMYFUNCTION("""COMPUTED_VALUE"""),81.0)</f>
        <v>81</v>
      </c>
    </row>
    <row r="33" ht="25.5" customHeight="1">
      <c r="B33" s="80" t="s">
        <v>70</v>
      </c>
      <c r="C33" s="61" t="str">
        <f>IFERROR(__xludf.DUMMYFUNCTION("""COMPUTED_VALUE"""),"Popcorn MV Intermediate")</f>
        <v>Popcorn MV Intermediate</v>
      </c>
      <c r="D33" s="63" t="str">
        <f>round(irank!$D32*100,0)&amp;"%"</f>
        <v>0%</v>
      </c>
      <c r="E33" s="146"/>
      <c r="F33" s="72"/>
      <c r="G33" s="81" t="str">
        <f>IFERROR(__xludf.DUMMYFUNCTION("sparkline(
  F33 - choose(match(F33, {0, H33:O33}), 0, H33, I33, J33, K33, L33, M33, N33, O33),
  {
    ""charttype"", ""bar"";
    ""max"", choose(match(F33, {0, H33:O33}), H33, I33-H33, J33-I33, K33-J33, L33-K33, M33-L33, N33-M33, O33-N33, 0);
    ""nan"&amp;""", ""ignore"";
    ""color1"", iferror(choose(match(F33, {0, H33:O33}),
      ""#CE3D30"",
      ""#F85939"",
      ""#F1C338"",
      ""#9CFF91"",
      ""#02A4D3"",
      ""#C2C2FF"",
      ""#5C3896"",
      ""#C74375"",
      ""#C74375""
    ))
  }
)"),"")</f>
        <v/>
      </c>
      <c r="H33" s="165">
        <f>IFERROR(__xludf.DUMMYFUNCTION("""COMPUTED_VALUE"""),150.0)</f>
        <v>150</v>
      </c>
      <c r="I33" s="166">
        <f>IFERROR(__xludf.DUMMYFUNCTION("""COMPUTED_VALUE"""),190.0)</f>
        <v>190</v>
      </c>
      <c r="J33" s="167">
        <f>IFERROR(__xludf.DUMMYFUNCTION("""COMPUTED_VALUE"""),240.0)</f>
        <v>240</v>
      </c>
      <c r="K33" s="168">
        <f>IFERROR(__xludf.DUMMYFUNCTION("""COMPUTED_VALUE"""),280.0)</f>
        <v>280</v>
      </c>
      <c r="L33" s="169">
        <f>IFERROR(__xludf.DUMMYFUNCTION("""COMPUTED_VALUE"""),330.0)</f>
        <v>330</v>
      </c>
      <c r="M33" s="170">
        <f>IFERROR(__xludf.DUMMYFUNCTION("""COMPUTED_VALUE"""),380.0)</f>
        <v>380</v>
      </c>
      <c r="N33" s="159">
        <f>IFERROR(__xludf.DUMMYFUNCTION("""COMPUTED_VALUE"""),430.0)</f>
        <v>430</v>
      </c>
      <c r="O33" s="171">
        <f>IFERROR(__xludf.DUMMYFUNCTION("""COMPUTED_VALUE"""),480.0)</f>
        <v>480</v>
      </c>
      <c r="P33" s="76"/>
      <c r="Q33" s="112">
        <f>IFERROR(__xludf.DUMMYFUNCTION("""COMPUTED_VALUE"""),400.0)</f>
        <v>400</v>
      </c>
      <c r="R33" s="150">
        <f>IFERROR(__xludf.DUMMYFUNCTION("""COMPUTED_VALUE"""),610.0)</f>
        <v>610</v>
      </c>
    </row>
    <row r="34" ht="25.5" customHeight="1">
      <c r="C34" s="61" t="str">
        <f>IFERROR(__xludf.DUMMYFUNCTION("""COMPUTED_VALUE"""),"Pasu Angelic 20% Larger")</f>
        <v>Pasu Angelic 20% Larger</v>
      </c>
      <c r="D34" s="63" t="str">
        <f>round(irank!$D33*100,0)&amp;"%"</f>
        <v>0%</v>
      </c>
      <c r="E34" s="146"/>
      <c r="F34" s="72"/>
      <c r="G34" s="81" t="str">
        <f>IFERROR(__xludf.DUMMYFUNCTION("sparkline(
  F34 - choose(match(F34, {0, H34:O34}), 0, H34, I34, J34, K34, L34, M34, N34, O34),
  {
    ""charttype"", ""bar"";
    ""max"", choose(match(F34, {0, H34:O34}), H34, I34-H34, J34-I34, K34-J34, L34-K34, M34-L34, N34-M34, O34-N34, 0);
    ""nan"&amp;""", ""ignore"";
    ""color1"", iferror(choose(match(F34, {0, H34:O34}),
      ""#CE3D30"",
      ""#F85939"",
      ""#F1C338"",
      ""#9CFF91"",
      ""#02A4D3"",
      ""#C2C2FF"",
      ""#5C3896"",
      ""#C74375"",
      ""#C74375""
    ))
  }
)"),"")</f>
        <v/>
      </c>
      <c r="H34" s="165">
        <f>IFERROR(__xludf.DUMMYFUNCTION("""COMPUTED_VALUE"""),72.0)</f>
        <v>72</v>
      </c>
      <c r="I34" s="166">
        <f>IFERROR(__xludf.DUMMYFUNCTION("""COMPUTED_VALUE"""),79.0)</f>
        <v>79</v>
      </c>
      <c r="J34" s="167">
        <f>IFERROR(__xludf.DUMMYFUNCTION("""COMPUTED_VALUE"""),85.0)</f>
        <v>85</v>
      </c>
      <c r="K34" s="168">
        <f>IFERROR(__xludf.DUMMYFUNCTION("""COMPUTED_VALUE"""),90.0)</f>
        <v>90</v>
      </c>
      <c r="L34" s="169">
        <f>IFERROR(__xludf.DUMMYFUNCTION("""COMPUTED_VALUE"""),96.0)</f>
        <v>96</v>
      </c>
      <c r="M34" s="170">
        <f>IFERROR(__xludf.DUMMYFUNCTION("""COMPUTED_VALUE"""),103.0)</f>
        <v>103</v>
      </c>
      <c r="N34" s="159">
        <f>IFERROR(__xludf.DUMMYFUNCTION("""COMPUTED_VALUE"""),110.0)</f>
        <v>110</v>
      </c>
      <c r="O34" s="171">
        <f>IFERROR(__xludf.DUMMYFUNCTION("""COMPUTED_VALUE"""),115.0)</f>
        <v>115</v>
      </c>
      <c r="P34" s="76"/>
      <c r="Q34" s="112">
        <f>IFERROR(__xludf.DUMMYFUNCTION("""COMPUTED_VALUE"""),106.0)</f>
        <v>106</v>
      </c>
      <c r="R34" s="154">
        <f>IFERROR(__xludf.DUMMYFUNCTION("""COMPUTED_VALUE"""),137.0)</f>
        <v>137</v>
      </c>
    </row>
    <row r="35" ht="25.5" customHeight="1">
      <c r="C35" s="61" t="str">
        <f>IFERROR(__xludf.DUMMYFUNCTION("""COMPUTED_VALUE"""),"1w2ts Pasu Perfected")</f>
        <v>1w2ts Pasu Perfected</v>
      </c>
      <c r="D35" s="63" t="str">
        <f>round(irank!$D34*100,0)&amp;"%"</f>
        <v>0%</v>
      </c>
      <c r="E35" s="146"/>
      <c r="F35" s="72"/>
      <c r="G35" s="81" t="str">
        <f>IFERROR(__xludf.DUMMYFUNCTION("sparkline(
  F35 - choose(match(F35, {0, H35:O35}), 0, H35, I35, J35, K35, L35, M35, N35, O35),
  {
    ""charttype"", ""bar"";
    ""max"", choose(match(F35, {0, H35:O35}), H35, I35-H35, J35-I35, K35-J35, L35-K35, M35-L35, N35-M35, O35-N35, 0);
    ""nan"&amp;""", ""ignore"";
    ""color1"", iferror(choose(match(F35, {0, H35:O35}),
      ""#CE3D30"",
      ""#F85939"",
      ""#F1C338"",
      ""#9CFF91"",
      ""#02A4D3"",
      ""#C2C2FF"",
      ""#5C3896"",
      ""#C74375"",
      ""#C74375""
    ))
  }
)"),"")</f>
        <v/>
      </c>
      <c r="H35" s="165">
        <f>IFERROR(__xludf.DUMMYFUNCTION("""COMPUTED_VALUE"""),60.0)</f>
        <v>60</v>
      </c>
      <c r="I35" s="166">
        <f>IFERROR(__xludf.DUMMYFUNCTION("""COMPUTED_VALUE"""),70.0)</f>
        <v>70</v>
      </c>
      <c r="J35" s="167">
        <f>IFERROR(__xludf.DUMMYFUNCTION("""COMPUTED_VALUE"""),80.0)</f>
        <v>80</v>
      </c>
      <c r="K35" s="168">
        <f>IFERROR(__xludf.DUMMYFUNCTION("""COMPUTED_VALUE"""),88.0)</f>
        <v>88</v>
      </c>
      <c r="L35" s="169">
        <f>IFERROR(__xludf.DUMMYFUNCTION("""COMPUTED_VALUE"""),96.0)</f>
        <v>96</v>
      </c>
      <c r="M35" s="170">
        <f>IFERROR(__xludf.DUMMYFUNCTION("""COMPUTED_VALUE"""),101.0)</f>
        <v>101</v>
      </c>
      <c r="N35" s="159">
        <f>IFERROR(__xludf.DUMMYFUNCTION("""COMPUTED_VALUE"""),107.0)</f>
        <v>107</v>
      </c>
      <c r="O35" s="171">
        <f>IFERROR(__xludf.DUMMYFUNCTION("""COMPUTED_VALUE"""),112.0)</f>
        <v>112</v>
      </c>
      <c r="P35" s="76"/>
      <c r="Q35" s="112">
        <f>IFERROR(__xludf.DUMMYFUNCTION("""COMPUTED_VALUE"""),101.0)</f>
        <v>101</v>
      </c>
      <c r="R35" s="150">
        <f>IFERROR(__xludf.DUMMYFUNCTION("""COMPUTED_VALUE"""),122.0)</f>
        <v>122</v>
      </c>
    </row>
    <row r="36" ht="25.5" customHeight="1">
      <c r="B36" s="80" t="s">
        <v>66</v>
      </c>
      <c r="C36" s="115" t="str">
        <f>IFERROR(__xludf.DUMMYFUNCTION("""COMPUTED_VALUE"""),"1w3ts Pasu Perfected Micro Goated Larger")</f>
        <v>1w3ts Pasu Perfected Micro Goated Larger</v>
      </c>
      <c r="D36" s="63" t="str">
        <f>round(irank!$D35*100,0)&amp;"%"</f>
        <v>0%</v>
      </c>
      <c r="E36" s="146"/>
      <c r="F36" s="72"/>
      <c r="G36" s="81" t="str">
        <f>IFERROR(__xludf.DUMMYFUNCTION("sparkline(
  F36 - choose(match(F36, {0, H36:O36}), 0, H36, I36, J36, K36, L36, M36, N36, O36),
  {
    ""charttype"", ""bar"";
    ""max"", choose(match(F36, {0, H36:O36}), H36, I36-H36, J36-I36, K36-J36, L36-K36, M36-L36, N36-M36, O36-N36, 0);
    ""nan"&amp;""", ""ignore"";
    ""color1"", iferror(choose(match(F36, {0, H36:O36}),
      ""#CE3D30"",
      ""#F85939"",
      ""#F1C338"",
      ""#9CFF91"",
      ""#02A4D3"",
      ""#C2C2FF"",
      ""#5C3896"",
      ""#C74375"",
      ""#C74375""
    ))
  }
)"),"")</f>
        <v/>
      </c>
      <c r="H36" s="165">
        <f>IFERROR(__xludf.DUMMYFUNCTION("""COMPUTED_VALUE"""),900.0)</f>
        <v>900</v>
      </c>
      <c r="I36" s="166">
        <f>IFERROR(__xludf.DUMMYFUNCTION("""COMPUTED_VALUE"""),1000.0)</f>
        <v>1000</v>
      </c>
      <c r="J36" s="167">
        <f>IFERROR(__xludf.DUMMYFUNCTION("""COMPUTED_VALUE"""),1100.0)</f>
        <v>1100</v>
      </c>
      <c r="K36" s="168">
        <f>IFERROR(__xludf.DUMMYFUNCTION("""COMPUTED_VALUE"""),1200.0)</f>
        <v>1200</v>
      </c>
      <c r="L36" s="169">
        <f>IFERROR(__xludf.DUMMYFUNCTION("""COMPUTED_VALUE"""),1300.0)</f>
        <v>1300</v>
      </c>
      <c r="M36" s="170">
        <f>IFERROR(__xludf.DUMMYFUNCTION("""COMPUTED_VALUE"""),1400.0)</f>
        <v>1400</v>
      </c>
      <c r="N36" s="159">
        <f>IFERROR(__xludf.DUMMYFUNCTION("""COMPUTED_VALUE"""),1500.0)</f>
        <v>1500</v>
      </c>
      <c r="O36" s="171">
        <f>IFERROR(__xludf.DUMMYFUNCTION("""COMPUTED_VALUE"""),1600.0)</f>
        <v>1600</v>
      </c>
      <c r="P36" s="76"/>
      <c r="Q36" s="112">
        <f>IFERROR(__xludf.DUMMYFUNCTION("""COMPUTED_VALUE"""),1494.0)</f>
        <v>1494</v>
      </c>
      <c r="R36" s="154">
        <f>IFERROR(__xludf.DUMMYFUNCTION("""COMPUTED_VALUE"""),1722.0)</f>
        <v>1722</v>
      </c>
    </row>
    <row r="37" ht="25.5" customHeight="1">
      <c r="C37" s="115" t="str">
        <f>IFERROR(__xludf.DUMMYFUNCTION("""COMPUTED_VALUE"""),"Floating Heads Timing 400% Larger")</f>
        <v>Floating Heads Timing 400% Larger</v>
      </c>
      <c r="D37" s="63" t="str">
        <f>round(irank!$D36*100,0)&amp;"%"</f>
        <v>0%</v>
      </c>
      <c r="E37" s="146"/>
      <c r="F37" s="72"/>
      <c r="G37" s="81" t="str">
        <f>IFERROR(__xludf.DUMMYFUNCTION("sparkline(
  F37 - choose(match(F37, {0, H37:O37}), 0, H37, I37, J37, K37, L37, M37, N37, O37),
  {
    ""charttype"", ""bar"";
    ""max"", choose(match(F37, {0, H37:O37}), H37, I37-H37, J37-I37, K37-J37, L37-K37, M37-L37, N37-M37, O37-N37, 0);
    ""nan"&amp;""", ""ignore"";
    ""color1"", iferror(choose(match(F37, {0, H37:O37}),
      ""#CE3D30"",
      ""#F85939"",
      ""#F1C338"",
      ""#9CFF91"",
      ""#02A4D3"",
      ""#C2C2FF"",
      ""#5C3896"",
      ""#C74375"",
      ""#C74375""
    ))
  }
)"),"")</f>
        <v/>
      </c>
      <c r="H37" s="178">
        <f>IFERROR(__xludf.DUMMYFUNCTION("""COMPUTED_VALUE"""),1950.0)</f>
        <v>1950</v>
      </c>
      <c r="I37" s="179">
        <f>IFERROR(__xludf.DUMMYFUNCTION("""COMPUTED_VALUE"""),2300.0)</f>
        <v>2300</v>
      </c>
      <c r="J37" s="185">
        <f>IFERROR(__xludf.DUMMYFUNCTION("""COMPUTED_VALUE"""),2650.0)</f>
        <v>2650</v>
      </c>
      <c r="K37" s="181">
        <f>IFERROR(__xludf.DUMMYFUNCTION("""COMPUTED_VALUE"""),3000.0)</f>
        <v>3000</v>
      </c>
      <c r="L37" s="182">
        <f>IFERROR(__xludf.DUMMYFUNCTION("""COMPUTED_VALUE"""),3350.0)</f>
        <v>3350</v>
      </c>
      <c r="M37" s="183">
        <f>IFERROR(__xludf.DUMMYFUNCTION("""COMPUTED_VALUE"""),3650.0)</f>
        <v>3650</v>
      </c>
      <c r="N37" s="107">
        <f>IFERROR(__xludf.DUMMYFUNCTION("""COMPUTED_VALUE"""),3900.0)</f>
        <v>3900</v>
      </c>
      <c r="O37" s="184">
        <f>IFERROR(__xludf.DUMMYFUNCTION("""COMPUTED_VALUE"""),4200.0)</f>
        <v>4200</v>
      </c>
      <c r="P37" s="76"/>
      <c r="Q37" s="112">
        <f>IFERROR(__xludf.DUMMYFUNCTION("""COMPUTED_VALUE"""),3996.0)</f>
        <v>3996</v>
      </c>
      <c r="R37" s="154">
        <f>IFERROR(__xludf.DUMMYFUNCTION("""COMPUTED_VALUE"""),4896.0)</f>
        <v>4896</v>
      </c>
    </row>
    <row r="38" ht="25.5" customHeight="1">
      <c r="C38" s="115" t="str">
        <f>IFERROR(__xludf.DUMMYFUNCTION("""COMPUTED_VALUE"""),"voxTargetClick 20% Small")</f>
        <v>voxTargetClick 20% Small</v>
      </c>
      <c r="D38" s="63" t="str">
        <f>round(irank!$D37*100,0)&amp;"%"</f>
        <v>0%</v>
      </c>
      <c r="E38" s="146"/>
      <c r="F38" s="72"/>
      <c r="G38" s="81" t="str">
        <f>IFERROR(__xludf.DUMMYFUNCTION("sparkline(
  F38 - choose(match(F38, {0, H38:O38}), 0, H38, I38, J38, K38, L38, M38, N38, O38),
  {
    ""charttype"", ""bar"";
    ""max"", choose(match(F38, {0, H38:O38}), H38, I38-H38, J38-I38, K38-J38, L38-K38, M38-L38, N38-M38, O38-N38, 0);
    ""nan"&amp;""", ""ignore"";
    ""color1"", iferror(choose(match(F38, {0, H38:O38}),
      ""#CE3D30"",
      ""#F85939"",
      ""#F1C338"",
      ""#9CFF91"",
      ""#02A4D3"",
      ""#C2C2FF"",
      ""#5C3896"",
      ""#C74375"",
      ""#C74375""
    ))
  }
)"),"")</f>
        <v/>
      </c>
      <c r="H38" s="178">
        <f>IFERROR(__xludf.DUMMYFUNCTION("""COMPUTED_VALUE"""),62.0)</f>
        <v>62</v>
      </c>
      <c r="I38" s="179">
        <f>IFERROR(__xludf.DUMMYFUNCTION("""COMPUTED_VALUE"""),72.0)</f>
        <v>72</v>
      </c>
      <c r="J38" s="185">
        <f>IFERROR(__xludf.DUMMYFUNCTION("""COMPUTED_VALUE"""),80.0)</f>
        <v>80</v>
      </c>
      <c r="K38" s="181">
        <f>IFERROR(__xludf.DUMMYFUNCTION("""COMPUTED_VALUE"""),87.0)</f>
        <v>87</v>
      </c>
      <c r="L38" s="182">
        <f>IFERROR(__xludf.DUMMYFUNCTION("""COMPUTED_VALUE"""),95.0)</f>
        <v>95</v>
      </c>
      <c r="M38" s="183">
        <f>IFERROR(__xludf.DUMMYFUNCTION("""COMPUTED_VALUE"""),102.0)</f>
        <v>102</v>
      </c>
      <c r="N38" s="107">
        <f>IFERROR(__xludf.DUMMYFUNCTION("""COMPUTED_VALUE"""),108.0)</f>
        <v>108</v>
      </c>
      <c r="O38" s="184">
        <f>IFERROR(__xludf.DUMMYFUNCTION("""COMPUTED_VALUE"""),116.0)</f>
        <v>116</v>
      </c>
      <c r="P38" s="76"/>
      <c r="Q38" s="112">
        <f>IFERROR(__xludf.DUMMYFUNCTION("""COMPUTED_VALUE"""),105.0)</f>
        <v>105</v>
      </c>
      <c r="R38" s="150">
        <f>IFERROR(__xludf.DUMMYFUNCTION("""COMPUTED_VALUE"""),128.0)</f>
        <v>128</v>
      </c>
    </row>
  </sheetData>
  <mergeCells count="24">
    <mergeCell ref="B3:B5"/>
    <mergeCell ref="B6:B8"/>
    <mergeCell ref="A1:C1"/>
    <mergeCell ref="E1:G1"/>
    <mergeCell ref="H1:I1"/>
    <mergeCell ref="J1:O1"/>
    <mergeCell ref="Q1:R1"/>
    <mergeCell ref="E2:F2"/>
    <mergeCell ref="A3:A14"/>
    <mergeCell ref="B21:B23"/>
    <mergeCell ref="B24:B25"/>
    <mergeCell ref="B26:B27"/>
    <mergeCell ref="B28:B29"/>
    <mergeCell ref="A30:A38"/>
    <mergeCell ref="B30:B32"/>
    <mergeCell ref="B33:B35"/>
    <mergeCell ref="B36:B38"/>
    <mergeCell ref="B9:B11"/>
    <mergeCell ref="B12:B14"/>
    <mergeCell ref="A15:A20"/>
    <mergeCell ref="B15:B16"/>
    <mergeCell ref="B17:B18"/>
    <mergeCell ref="B19:B20"/>
    <mergeCell ref="A21:A29"/>
  </mergeCells>
  <conditionalFormatting sqref="E36:F36">
    <cfRule type="expression" dxfId="19" priority="1">
      <formula>$H$36=""</formula>
    </cfRule>
  </conditionalFormatting>
  <conditionalFormatting sqref="F3:F38">
    <cfRule type="expression" dxfId="34" priority="2">
      <formula>arrayformula(F3:F38&gt;=$O3:O38)</formula>
    </cfRule>
  </conditionalFormatting>
  <conditionalFormatting sqref="F3:F38">
    <cfRule type="expression" dxfId="36" priority="3">
      <formula>arrayformula(F3:F38&gt;=$N3:N38)</formula>
    </cfRule>
  </conditionalFormatting>
  <conditionalFormatting sqref="F3:F38">
    <cfRule type="expression" dxfId="38" priority="4">
      <formula>arrayformula(F3:F38&gt;=$M3:M38)</formula>
    </cfRule>
  </conditionalFormatting>
  <conditionalFormatting sqref="F3:F38">
    <cfRule type="expression" dxfId="40" priority="5">
      <formula>arrayformula(F3:F38&gt;=$L3:L38)</formula>
    </cfRule>
  </conditionalFormatting>
  <conditionalFormatting sqref="F3:F38">
    <cfRule type="expression" dxfId="42" priority="6">
      <formula>arrayformula(F3:F38&gt;=$K3:K38)</formula>
    </cfRule>
  </conditionalFormatting>
  <conditionalFormatting sqref="F3:F38">
    <cfRule type="expression" dxfId="44" priority="7">
      <formula>arrayformula(F3:F38&gt;=$J3:J38)</formula>
    </cfRule>
  </conditionalFormatting>
  <conditionalFormatting sqref="F3:F38">
    <cfRule type="expression" dxfId="46" priority="8">
      <formula>arrayformula(F3:F38&gt;=$I3:I38)</formula>
    </cfRule>
  </conditionalFormatting>
  <conditionalFormatting sqref="F3:F38">
    <cfRule type="expression" dxfId="48" priority="9">
      <formula>arrayformula(F3:F38&gt;=$H3:H38)</formula>
    </cfRule>
  </conditionalFormatting>
  <conditionalFormatting sqref="E3:E38">
    <cfRule type="expression" dxfId="50" priority="10">
      <formula>arrayformula(F3:F38&gt;=$O3:O38)</formula>
    </cfRule>
  </conditionalFormatting>
  <conditionalFormatting sqref="E3:E38">
    <cfRule type="expression" dxfId="52" priority="11">
      <formula>arrayformula(F3:F38&gt;=N3:$N38)</formula>
    </cfRule>
  </conditionalFormatting>
  <conditionalFormatting sqref="E3:E38">
    <cfRule type="expression" dxfId="54" priority="12">
      <formula>arrayformula(F3:F38&gt;=$M3:M38)</formula>
    </cfRule>
  </conditionalFormatting>
  <conditionalFormatting sqref="E3:E38">
    <cfRule type="expression" dxfId="55" priority="13">
      <formula>arrayformula(F3:F38&gt;=$L3:L38)</formula>
    </cfRule>
  </conditionalFormatting>
  <conditionalFormatting sqref="E3:E38">
    <cfRule type="expression" dxfId="56" priority="14">
      <formula>arrayformula(F3:F38&gt;=$K3:K38)</formula>
    </cfRule>
  </conditionalFormatting>
  <conditionalFormatting sqref="E3:E38">
    <cfRule type="expression" dxfId="57" priority="15">
      <formula>arrayformula(F3:F38&gt;=$J3:J38)</formula>
    </cfRule>
  </conditionalFormatting>
  <conditionalFormatting sqref="E3:E38">
    <cfRule type="expression" dxfId="58" priority="16">
      <formula>arrayformula(F3:F38&gt;=$I3:I38)</formula>
    </cfRule>
  </conditionalFormatting>
  <conditionalFormatting sqref="E3:E38">
    <cfRule type="expression" dxfId="59" priority="17">
      <formula>arrayformula(F3:F38&gt;=$H3:H38)</formula>
    </cfRule>
  </conditionalFormatting>
  <conditionalFormatting sqref="E1:G1">
    <cfRule type="containsText" dxfId="60" priority="18" operator="containsText" text="Cinnabar">
      <formula>NOT(ISERROR(SEARCH(("Cinnabar"),(E1))))</formula>
    </cfRule>
  </conditionalFormatting>
  <conditionalFormatting sqref="E1:G1">
    <cfRule type="containsText" dxfId="61" priority="19" operator="containsText" text="Vermillion">
      <formula>NOT(ISERROR(SEARCH(("Vermillion"),(E1))))</formula>
    </cfRule>
  </conditionalFormatting>
  <conditionalFormatting sqref="E1:G1">
    <cfRule type="containsText" dxfId="62" priority="20" operator="containsText" text="Saffron">
      <formula>NOT(ISERROR(SEARCH(("Saffron"),(E1))))</formula>
    </cfRule>
  </conditionalFormatting>
  <conditionalFormatting sqref="E1:G1">
    <cfRule type="containsText" dxfId="63" priority="21" operator="containsText" text="Celadon">
      <formula>NOT(ISERROR(SEARCH(("Celadon"),(E1))))</formula>
    </cfRule>
  </conditionalFormatting>
  <conditionalFormatting sqref="E1:G1">
    <cfRule type="containsText" dxfId="64" priority="22" operator="containsText" text="Cerulean">
      <formula>NOT(ISERROR(SEARCH(("Cerulean"),(E1))))</formula>
    </cfRule>
  </conditionalFormatting>
  <conditionalFormatting sqref="E1:G1">
    <cfRule type="containsText" dxfId="65" priority="23" operator="containsText" text="Lavender">
      <formula>NOT(ISERROR(SEARCH(("Lavender"),(E1))))</formula>
    </cfRule>
  </conditionalFormatting>
  <conditionalFormatting sqref="E1:G1">
    <cfRule type="containsText" dxfId="66" priority="24" operator="containsText" text="Indigo">
      <formula>NOT(ISERROR(SEARCH(("Indigo"),(E1))))</formula>
    </cfRule>
  </conditionalFormatting>
  <conditionalFormatting sqref="E1:G1">
    <cfRule type="containsText" dxfId="67" priority="25" operator="containsText" text="Fuchsia">
      <formula>NOT(ISERROR(SEARCH(("Fuchsia"),(E1))))</formula>
    </cfRule>
  </conditionalFormatting>
  <conditionalFormatting sqref="E1:G1">
    <cfRule type="containsText" dxfId="68" priority="26" operator="containsText" text="Unranked">
      <formula>NOT(ISERROR(SEARCH(("Unranked"),(E1))))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63"/>
    <col customWidth="1" min="3" max="3" width="41.13"/>
    <col customWidth="1" min="4" max="4" width="5.0"/>
    <col customWidth="1" min="5" max="5" width="0.38"/>
    <col customWidth="1" min="6" max="6" width="14.13"/>
    <col customWidth="1" min="7" max="7" width="19.63"/>
    <col customWidth="1" min="8" max="13" width="13.63"/>
    <col customWidth="1" min="14" max="14" width="1.63"/>
    <col customWidth="1" min="15" max="15" width="15.25"/>
  </cols>
  <sheetData>
    <row r="1" ht="27.0" customHeight="1">
      <c r="A1" s="4" t="s">
        <v>0</v>
      </c>
      <c r="B1" s="5"/>
      <c r="C1" s="5"/>
      <c r="D1" s="5"/>
      <c r="E1" s="9" t="str">
        <f>arank!A1 </f>
        <v>Unranked</v>
      </c>
      <c r="F1" s="5"/>
      <c r="G1" s="5"/>
      <c r="H1" s="15" t="str">
        <f>"Playlist Code: "</f>
        <v>Playlist Code: </v>
      </c>
      <c r="I1" s="5"/>
      <c r="J1" s="17" t="s">
        <v>7</v>
      </c>
      <c r="K1" s="5"/>
      <c r="L1" s="5"/>
      <c r="M1" s="5"/>
      <c r="N1" s="5"/>
      <c r="O1" s="5"/>
    </row>
    <row r="2" ht="25.5" customHeight="1">
      <c r="A2" s="23"/>
      <c r="B2" s="24"/>
      <c r="C2" s="24" t="s">
        <v>9</v>
      </c>
      <c r="D2" s="30">
        <f>round((sum(arank!D2:arank!D37)*100),0)</f>
        <v>0</v>
      </c>
      <c r="E2" s="24" t="str">
        <f>" High Score"</f>
        <v> High Score</v>
      </c>
      <c r="G2" s="24" t="s">
        <v>10</v>
      </c>
      <c r="H2" s="33" t="s">
        <v>12</v>
      </c>
      <c r="I2" s="37" t="s">
        <v>14</v>
      </c>
      <c r="J2" s="41" t="s">
        <v>16</v>
      </c>
      <c r="K2" s="42" t="s">
        <v>22</v>
      </c>
      <c r="L2" s="48" t="s">
        <v>25</v>
      </c>
      <c r="M2" s="53" t="s">
        <v>34</v>
      </c>
      <c r="N2" s="54"/>
      <c r="O2" s="55" t="s">
        <v>40</v>
      </c>
    </row>
    <row r="3" ht="25.5" customHeight="1">
      <c r="A3" s="23" t="s">
        <v>37</v>
      </c>
      <c r="B3" s="59" t="s">
        <v>39</v>
      </c>
      <c r="C3" s="66" t="str">
        <f>IFERROR(__xludf.DUMMYFUNCTION("importrange(""https://docs.google.com/spreadsheets/d/1k3XRRwn-mAbvb3rXIODFPrsnkgSEfh0xg1EWJICcSPo/edit?usp=sharing"",""Advanced!C3:C38"")"),"WhisphereRawControl 30% Small")</f>
        <v>WhisphereRawControl 30% Small</v>
      </c>
      <c r="D3" s="68" t="str">
        <f>round(arank!$D2*100,0)&amp;"%"</f>
        <v>0%</v>
      </c>
      <c r="E3" s="69"/>
      <c r="F3" s="70"/>
      <c r="G3" s="67" t="str">
        <f>IFERROR(__xludf.DUMMYFUNCTION("sparkline(
  F3 - choose(match(F3, {0, H3:M3}), 0, H3, I3, J3, K3, L3, M3),
  {
    ""charttype"", ""bar"";
    ""max"", choose(match(F3, {0, H3:M3}), H3, I3-H3, J3-I3, K3-J3, L3-K3, M3-L3, 0);
    ""nan"", ""ignore"";
    ""color1"", iferror(choose(match"&amp;"(F3, {0, H3:M3}),
      ""#F1ECEB"",
      ""#EED3CE"",
      ""#EEC8C7"",
      ""#B3E0F4"",
      ""#77B7D0"",
      ""#468DA3"",
      ""#468DA3""
    ))
  }
)"),"")</f>
        <v/>
      </c>
      <c r="H3" s="86">
        <f>IFERROR(__xludf.DUMMYFUNCTION("importrange(""https://docs.google.com/spreadsheets/d/1k3XRRwn-mAbvb3rXIODFPrsnkgSEfh0xg1EWJICcSPo/edit?usp=sharing"",""Advanced!D3:K38"")"),7100.0)</f>
        <v>7100</v>
      </c>
      <c r="I3" s="87">
        <f>IFERROR(__xludf.DUMMYFUNCTION("""COMPUTED_VALUE"""),7700.0)</f>
        <v>7700</v>
      </c>
      <c r="J3" s="88">
        <f>IFERROR(__xludf.DUMMYFUNCTION("""COMPUTED_VALUE"""),8300.0)</f>
        <v>8300</v>
      </c>
      <c r="K3" s="89">
        <f>IFERROR(__xludf.DUMMYFUNCTION("""COMPUTED_VALUE"""),8900.0)</f>
        <v>8900</v>
      </c>
      <c r="L3" s="90">
        <f>IFERROR(__xludf.DUMMYFUNCTION("""COMPUTED_VALUE"""),9900.0)</f>
        <v>9900</v>
      </c>
      <c r="M3" s="91">
        <f>IFERROR(__xludf.DUMMYFUNCTION("""COMPUTED_VALUE"""),11000.0)</f>
        <v>11000</v>
      </c>
      <c r="O3" s="92">
        <f>IFERROR(__xludf.DUMMYFUNCTION("""COMPUTED_VALUE"""),11872.0)</f>
        <v>11872</v>
      </c>
    </row>
    <row r="4" ht="25.5" customHeight="1">
      <c r="C4" s="66" t="str">
        <f>IFERROR(__xludf.DUMMYFUNCTION("""COMPUTED_VALUE"""),"Whisphere Small &amp; Slow")</f>
        <v>Whisphere Small &amp; Slow</v>
      </c>
      <c r="D4" s="68" t="str">
        <f>round(arank!$D3*100,0)&amp;"%"</f>
        <v>0%</v>
      </c>
      <c r="E4" s="69"/>
      <c r="F4" s="70"/>
      <c r="G4" s="67" t="str">
        <f>IFERROR(__xludf.DUMMYFUNCTION("sparkline(
  F4 - choose(match(F4, {0, H4:M4}), 0, H4, I4, J4, K4, L4, M4),
  {
    ""charttype"", ""bar"";
    ""max"", choose(match(F4, {0, H4:M4}), H4, I4-H4, J4-I4, K4-J4, L4-K4, M4-L4, 0);
    ""nan"", ""ignore"";
    ""color1"", iferror(choose(match"&amp;"(F4, {0, H4:M4}),
      ""#F1ECEB"",
      ""#EED3CE"",
      ""#EEC8C7"",
      ""#B3E0F4"",
      ""#77B7D0"",
      ""#468DA3"",
      ""#468DA3""
    ))
  }
)"),"")</f>
        <v/>
      </c>
      <c r="H4" s="86">
        <f>IFERROR(__xludf.DUMMYFUNCTION("""COMPUTED_VALUE"""),14000.0)</f>
        <v>14000</v>
      </c>
      <c r="I4" s="87">
        <f>IFERROR(__xludf.DUMMYFUNCTION("""COMPUTED_VALUE"""),15250.0)</f>
        <v>15250</v>
      </c>
      <c r="J4" s="88">
        <f>IFERROR(__xludf.DUMMYFUNCTION("""COMPUTED_VALUE"""),16500.0)</f>
        <v>16500</v>
      </c>
      <c r="K4" s="89">
        <f>IFERROR(__xludf.DUMMYFUNCTION("""COMPUTED_VALUE"""),18000.0)</f>
        <v>18000</v>
      </c>
      <c r="L4" s="90">
        <f>IFERROR(__xludf.DUMMYFUNCTION("""COMPUTED_VALUE"""),19500.0)</f>
        <v>19500</v>
      </c>
      <c r="M4" s="91">
        <f>IFERROR(__xludf.DUMMYFUNCTION("""COMPUTED_VALUE"""),20500.0)</f>
        <v>20500</v>
      </c>
      <c r="O4" s="92">
        <f>IFERROR(__xludf.DUMMYFUNCTION("""COMPUTED_VALUE"""),21490.0)</f>
        <v>21490</v>
      </c>
    </row>
    <row r="5" ht="25.5" customHeight="1">
      <c r="C5" s="66" t="str">
        <f>IFERROR(__xludf.DUMMYFUNCTION("""COMPUTED_VALUE"""),"SmoothBot Invincible Goated Smaller")</f>
        <v>SmoothBot Invincible Goated Smaller</v>
      </c>
      <c r="D5" s="68" t="str">
        <f>round(arank!$D4*100,0)&amp;"%"</f>
        <v>0%</v>
      </c>
      <c r="E5" s="69"/>
      <c r="F5" s="70"/>
      <c r="G5" s="67" t="str">
        <f>IFERROR(__xludf.DUMMYFUNCTION("sparkline(
  F5 - choose(match(F5, {0, H5:M5}), 0, H5, I5, J5, K5, L5, M5),
  {
    ""charttype"", ""bar"";
    ""max"", choose(match(F5, {0, H5:M5}), H5, I5-H5, J5-I5, K5-J5, L5-K5, M5-L5, 0);
    ""nan"", ""ignore"";
    ""color1"", iferror(choose(match"&amp;"(F5, {0, H5:M5}),
      ""#F1ECEB"",
      ""#EED3CE"",
      ""#EEC8C7"",
      ""#B3E0F4"",
      ""#77B7D0"",
      ""#468DA3"",
      ""#468DA3""
    ))
  }
)"),"")</f>
        <v/>
      </c>
      <c r="H5" s="86">
        <f>IFERROR(__xludf.DUMMYFUNCTION("""COMPUTED_VALUE"""),2700.0)</f>
        <v>2700</v>
      </c>
      <c r="I5" s="87">
        <f>IFERROR(__xludf.DUMMYFUNCTION("""COMPUTED_VALUE"""),3200.0)</f>
        <v>3200</v>
      </c>
      <c r="J5" s="88">
        <f>IFERROR(__xludf.DUMMYFUNCTION("""COMPUTED_VALUE"""),3450.0)</f>
        <v>3450</v>
      </c>
      <c r="K5" s="89">
        <f>IFERROR(__xludf.DUMMYFUNCTION("""COMPUTED_VALUE"""),3850.0)</f>
        <v>3850</v>
      </c>
      <c r="L5" s="90">
        <f>IFERROR(__xludf.DUMMYFUNCTION("""COMPUTED_VALUE"""),4200.0)</f>
        <v>4200</v>
      </c>
      <c r="M5" s="91">
        <f>IFERROR(__xludf.DUMMYFUNCTION("""COMPUTED_VALUE"""),4450.0)</f>
        <v>4450</v>
      </c>
      <c r="O5" s="92">
        <f>IFERROR(__xludf.DUMMYFUNCTION("""COMPUTED_VALUE"""),4494.0)</f>
        <v>4494</v>
      </c>
    </row>
    <row r="6" ht="25.5" customHeight="1">
      <c r="B6" s="59" t="s">
        <v>58</v>
      </c>
      <c r="C6" s="102" t="str">
        <f>IFERROR(__xludf.DUMMYFUNCTION("""COMPUTED_VALUE"""),"Leaptrack Goated 80%")</f>
        <v>Leaptrack Goated 80%</v>
      </c>
      <c r="D6" s="68" t="str">
        <f>round(arank!$D5*100,0)&amp;"%"</f>
        <v>0%</v>
      </c>
      <c r="E6" s="69"/>
      <c r="F6" s="70"/>
      <c r="G6" s="67" t="str">
        <f>IFERROR(__xludf.DUMMYFUNCTION("sparkline(
  F6 - choose(match(F6, {0, H6:M6}), 0, H6, I6, J6, K6, L6, M6),
  {
    ""charttype"", ""bar"";
    ""max"", choose(match(F6, {0, H6:M6}), H6, I6-H6, J6-I6, K6-J6, L6-K6, M6-L6, 0);
    ""nan"", ""ignore"";
    ""color1"", iferror(choose(match"&amp;"(F6, {0, H6:M6}),
      ""#F1ECEB"",
      ""#EED3CE"",
      ""#EEC8C7"",
      ""#B3E0F4"",
      ""#77B7D0"",
      ""#468DA3"",
      ""#468DA3""
    ))
  }
)"),"")</f>
        <v/>
      </c>
      <c r="H6" s="86">
        <f>IFERROR(__xludf.DUMMYFUNCTION("""COMPUTED_VALUE"""),2500.0)</f>
        <v>2500</v>
      </c>
      <c r="I6" s="87">
        <f>IFERROR(__xludf.DUMMYFUNCTION("""COMPUTED_VALUE"""),2625.0)</f>
        <v>2625</v>
      </c>
      <c r="J6" s="88">
        <f>IFERROR(__xludf.DUMMYFUNCTION("""COMPUTED_VALUE"""),2750.0)</f>
        <v>2750</v>
      </c>
      <c r="K6" s="89">
        <f>IFERROR(__xludf.DUMMYFUNCTION("""COMPUTED_VALUE"""),2850.0)</f>
        <v>2850</v>
      </c>
      <c r="L6" s="90">
        <f>IFERROR(__xludf.DUMMYFUNCTION("""COMPUTED_VALUE"""),3000.0)</f>
        <v>3000</v>
      </c>
      <c r="M6" s="91">
        <f>IFERROR(__xludf.DUMMYFUNCTION("""COMPUTED_VALUE"""),3200.0)</f>
        <v>3200</v>
      </c>
      <c r="O6" s="92">
        <f>IFERROR(__xludf.DUMMYFUNCTION("""COMPUTED_VALUE"""),3210.0)</f>
        <v>3210</v>
      </c>
    </row>
    <row r="7" ht="25.5" customHeight="1">
      <c r="C7" s="102" t="str">
        <f>IFERROR(__xludf.DUMMYFUNCTION("""COMPUTED_VALUE"""),"Controlsphere rAim")</f>
        <v>Controlsphere rAim</v>
      </c>
      <c r="D7" s="68" t="str">
        <f>round(arank!$D6*100,0)&amp;"%"</f>
        <v>0%</v>
      </c>
      <c r="E7" s="109"/>
      <c r="F7" s="70"/>
      <c r="G7" s="67" t="str">
        <f>IFERROR(__xludf.DUMMYFUNCTION("sparkline(
  F7 - choose(match(F7, {0, H7:M7}), 0, H7, I7, J7, K7, L7, M7),
  {
    ""charttype"", ""bar"";
    ""max"", choose(match(F7, {0, H7:M7}), H7, I7-H7, J7-I7, K7-J7, L7-K7, M7-L7, 0);
    ""nan"", ""ignore"";
    ""color1"", iferror(choose(match"&amp;"(F7, {0, H7:M7}),
      ""#F1ECEB"",
      ""#EED3CE"",
      ""#EEC8C7"",
      ""#B3E0F4"",
      ""#77B7D0"",
      ""#468DA3"",
      ""#468DA3""
    ))
  }
)"),"")</f>
        <v/>
      </c>
      <c r="H7" s="86">
        <f>IFERROR(__xludf.DUMMYFUNCTION("""COMPUTED_VALUE"""),9100.0)</f>
        <v>9100</v>
      </c>
      <c r="I7" s="87">
        <f>IFERROR(__xludf.DUMMYFUNCTION("""COMPUTED_VALUE"""),9850.0)</f>
        <v>9850</v>
      </c>
      <c r="J7" s="88">
        <f>IFERROR(__xludf.DUMMYFUNCTION("""COMPUTED_VALUE"""),10700.0)</f>
        <v>10700</v>
      </c>
      <c r="K7" s="89">
        <f>IFERROR(__xludf.DUMMYFUNCTION("""COMPUTED_VALUE"""),11300.0)</f>
        <v>11300</v>
      </c>
      <c r="L7" s="90">
        <f>IFERROR(__xludf.DUMMYFUNCTION("""COMPUTED_VALUE"""),11900.0)</f>
        <v>11900</v>
      </c>
      <c r="M7" s="91">
        <f>IFERROR(__xludf.DUMMYFUNCTION("""COMPUTED_VALUE"""),12350.0)</f>
        <v>12350</v>
      </c>
      <c r="O7" s="92">
        <f>IFERROR(__xludf.DUMMYFUNCTION("""COMPUTED_VALUE"""),12894.0)</f>
        <v>12894</v>
      </c>
    </row>
    <row r="8" ht="25.5" customHeight="1">
      <c r="C8" s="102" t="str">
        <f>IFERROR(__xludf.DUMMYFUNCTION("""COMPUTED_VALUE"""),"VT Controlsphere Intermediate Hard")</f>
        <v>VT Controlsphere Intermediate Hard</v>
      </c>
      <c r="D8" s="68" t="str">
        <f>round(arank!$D7*100,0)&amp;"%"</f>
        <v>0%</v>
      </c>
      <c r="E8" s="109"/>
      <c r="F8" s="70"/>
      <c r="G8" s="67" t="str">
        <f>IFERROR(__xludf.DUMMYFUNCTION("sparkline(
  F8 - choose(match(F8, {0, H8:M8}), 0, H8, I8, J8, K8, L8, M8),
  {
    ""charttype"", ""bar"";
    ""max"", choose(match(F8, {0, H8:M8}), H8, I8-H8, J8-I8, K8-J8, L8-K8, M8-L8, 0);
    ""nan"", ""ignore"";
    ""color1"", iferror(choose(match"&amp;"(F8, {0, H8:M8}),
      ""#F1ECEB"",
      ""#EED3CE"",
      ""#EEC8C7"",
      ""#B3E0F4"",
      ""#77B7D0"",
      ""#468DA3"",
      ""#468DA3""
    ))
  }
)"),"")</f>
        <v/>
      </c>
      <c r="H8" s="86">
        <f>IFERROR(__xludf.DUMMYFUNCTION("""COMPUTED_VALUE"""),2850.0)</f>
        <v>2850</v>
      </c>
      <c r="I8" s="87">
        <f>IFERROR(__xludf.DUMMYFUNCTION("""COMPUTED_VALUE"""),3200.0)</f>
        <v>3200</v>
      </c>
      <c r="J8" s="88">
        <f>IFERROR(__xludf.DUMMYFUNCTION("""COMPUTED_VALUE"""),3500.0)</f>
        <v>3500</v>
      </c>
      <c r="K8" s="89">
        <f>IFERROR(__xludf.DUMMYFUNCTION("""COMPUTED_VALUE"""),3800.0)</f>
        <v>3800</v>
      </c>
      <c r="L8" s="90">
        <f>IFERROR(__xludf.DUMMYFUNCTION("""COMPUTED_VALUE"""),4000.0)</f>
        <v>4000</v>
      </c>
      <c r="M8" s="91">
        <f>IFERROR(__xludf.DUMMYFUNCTION("""COMPUTED_VALUE"""),4200.0)</f>
        <v>4200</v>
      </c>
      <c r="O8" s="92">
        <f>IFERROR(__xludf.DUMMYFUNCTION("""COMPUTED_VALUE"""),4497.0)</f>
        <v>4497</v>
      </c>
    </row>
    <row r="9" ht="25.5" customHeight="1">
      <c r="B9" s="59" t="s">
        <v>59</v>
      </c>
      <c r="C9" s="66" t="str">
        <f>IFERROR(__xludf.DUMMYFUNCTION("""COMPUTED_VALUE"""),"Air Angelic 4 Voltaic")</f>
        <v>Air Angelic 4 Voltaic</v>
      </c>
      <c r="D9" s="68" t="str">
        <f>round(arank!$D8*100,0)&amp;"%"</f>
        <v>0%</v>
      </c>
      <c r="E9" s="109"/>
      <c r="F9" s="70"/>
      <c r="G9" s="67" t="str">
        <f>IFERROR(__xludf.DUMMYFUNCTION("sparkline(
  F9 - choose(match(F9, {0, H9:M9}), 0, H9, I9, J9, K9, L9, M9),
  {
    ""charttype"", ""bar"";
    ""max"", choose(match(F9, {0, H9:M9}), H9, I9-H9, J9-I9, K9-J9, L9-K9, M9-L9, 0);
    ""nan"", ""ignore"";
    ""color1"", iferror(choose(match"&amp;"(F9, {0, H9:M9}),
      ""#F1ECEB"",
      ""#EED3CE"",
      ""#EEC8C7"",
      ""#B3E0F4"",
      ""#77B7D0"",
      ""#468DA3"",
      ""#468DA3""
    ))
  }
)"),"")</f>
        <v/>
      </c>
      <c r="H9" s="86">
        <f>IFERROR(__xludf.DUMMYFUNCTION("""COMPUTED_VALUE"""),3300.0)</f>
        <v>3300</v>
      </c>
      <c r="I9" s="87">
        <f>IFERROR(__xludf.DUMMYFUNCTION("""COMPUTED_VALUE"""),3650.0)</f>
        <v>3650</v>
      </c>
      <c r="J9" s="88">
        <f>IFERROR(__xludf.DUMMYFUNCTION("""COMPUTED_VALUE"""),3850.0)</f>
        <v>3850</v>
      </c>
      <c r="K9" s="89">
        <f>IFERROR(__xludf.DUMMYFUNCTION("""COMPUTED_VALUE"""),4100.0)</f>
        <v>4100</v>
      </c>
      <c r="L9" s="90">
        <f>IFERROR(__xludf.DUMMYFUNCTION("""COMPUTED_VALUE"""),4225.0)</f>
        <v>4225</v>
      </c>
      <c r="M9" s="91">
        <f>IFERROR(__xludf.DUMMYFUNCTION("""COMPUTED_VALUE"""),4350.0)</f>
        <v>4350</v>
      </c>
      <c r="O9" s="92">
        <f>IFERROR(__xludf.DUMMYFUNCTION("""COMPUTED_VALUE"""),4440.0)</f>
        <v>4440</v>
      </c>
    </row>
    <row r="10" ht="25.5" customHeight="1">
      <c r="C10" s="66" t="str">
        <f>IFERROR(__xludf.DUMMYFUNCTION("""COMPUTED_VALUE"""),"Cloverrawcontrol")</f>
        <v>Cloverrawcontrol</v>
      </c>
      <c r="D10" s="68" t="str">
        <f>round(arank!$D9*100,0)&amp;"%"</f>
        <v>0%</v>
      </c>
      <c r="E10" s="109"/>
      <c r="F10" s="70"/>
      <c r="G10" s="67" t="str">
        <f>IFERROR(__xludf.DUMMYFUNCTION("sparkline(
  F10 - choose(match(F10, {0, H10:M10}), 0, H10, I10, J10, K10, L10, M10),
  {
    ""charttype"", ""bar"";
    ""max"", choose(match(F10, {0, H10:M10}), H10, I10-H10, J10-I10, K10-J10, L10-K10, M10-L10, 0);
    ""nan"", ""ignore"";
    ""color1"&amp;""", iferror(choose(match(F10, {0, H10:M10}),
      ""#F1ECEB"",
      ""#EED3CE"",
      ""#EEC8C7"",
      ""#B3E0F4"",
      ""#77B7D0"",
      ""#468DA3"",
      ""#468DA3""
    ))
  }
)"),"")</f>
        <v/>
      </c>
      <c r="H10" s="86">
        <f>IFERROR(__xludf.DUMMYFUNCTION("""COMPUTED_VALUE"""),7000.0)</f>
        <v>7000</v>
      </c>
      <c r="I10" s="87">
        <f>IFERROR(__xludf.DUMMYFUNCTION("""COMPUTED_VALUE"""),7650.0)</f>
        <v>7650</v>
      </c>
      <c r="J10" s="88">
        <f>IFERROR(__xludf.DUMMYFUNCTION("""COMPUTED_VALUE"""),8200.0)</f>
        <v>8200</v>
      </c>
      <c r="K10" s="89">
        <f>IFERROR(__xludf.DUMMYFUNCTION("""COMPUTED_VALUE"""),8650.0)</f>
        <v>8650</v>
      </c>
      <c r="L10" s="90">
        <f>IFERROR(__xludf.DUMMYFUNCTION("""COMPUTED_VALUE"""),9200.0)</f>
        <v>9200</v>
      </c>
      <c r="M10" s="91">
        <f>IFERROR(__xludf.DUMMYFUNCTION("""COMPUTED_VALUE"""),10100.0)</f>
        <v>10100</v>
      </c>
      <c r="O10" s="92">
        <f>IFERROR(__xludf.DUMMYFUNCTION("""COMPUTED_VALUE"""),10671.0)</f>
        <v>10671</v>
      </c>
    </row>
    <row r="11" ht="25.5" customHeight="1">
      <c r="C11" s="66" t="str">
        <f>IFERROR(__xludf.DUMMYFUNCTION("""COMPUTED_VALUE"""),"Controlsphere Far")</f>
        <v>Controlsphere Far</v>
      </c>
      <c r="D11" s="68" t="str">
        <f>round(arank!$D10*100,0)&amp;"%"</f>
        <v>0%</v>
      </c>
      <c r="E11" s="109"/>
      <c r="F11" s="70"/>
      <c r="G11" s="67" t="str">
        <f>IFERROR(__xludf.DUMMYFUNCTION("sparkline(
  F11 - choose(match(F11, {0, H11:M11}), 0, H11, I11, J11, K11, L11, M11),
  {
    ""charttype"", ""bar"";
    ""max"", choose(match(F11, {0, H11:M11}), H11, I11-H11, J11-I11, K11-J11, L11-K11, M11-L11, 0);
    ""nan"", ""ignore"";
    ""color1"&amp;""", iferror(choose(match(F11, {0, H11:M11}),
      ""#F1ECEB"",
      ""#EED3CE"",
      ""#EEC8C7"",
      ""#B3E0F4"",
      ""#77B7D0"",
      ""#468DA3"",
      ""#468DA3""
    ))
  }
)"),"")</f>
        <v/>
      </c>
      <c r="H11" s="86">
        <f>IFERROR(__xludf.DUMMYFUNCTION("""COMPUTED_VALUE"""),8600.0)</f>
        <v>8600</v>
      </c>
      <c r="I11" s="87">
        <f>IFERROR(__xludf.DUMMYFUNCTION("""COMPUTED_VALUE"""),9200.0)</f>
        <v>9200</v>
      </c>
      <c r="J11" s="88">
        <f>IFERROR(__xludf.DUMMYFUNCTION("""COMPUTED_VALUE"""),9800.0)</f>
        <v>9800</v>
      </c>
      <c r="K11" s="89">
        <f>IFERROR(__xludf.DUMMYFUNCTION("""COMPUTED_VALUE"""),10600.0)</f>
        <v>10600</v>
      </c>
      <c r="L11" s="90">
        <f>IFERROR(__xludf.DUMMYFUNCTION("""COMPUTED_VALUE"""),11200.0)</f>
        <v>11200</v>
      </c>
      <c r="M11" s="91">
        <f>IFERROR(__xludf.DUMMYFUNCTION("""COMPUTED_VALUE"""),12000.0)</f>
        <v>12000</v>
      </c>
      <c r="O11" s="92">
        <f>IFERROR(__xludf.DUMMYFUNCTION("""COMPUTED_VALUE"""),12321.0)</f>
        <v>12321</v>
      </c>
    </row>
    <row r="12" ht="25.5" customHeight="1">
      <c r="B12" s="59" t="s">
        <v>60</v>
      </c>
      <c r="C12" s="102" t="str">
        <f>IFERROR(__xludf.DUMMYFUNCTION("""COMPUTED_VALUE"""),"PGTI Voltaic")</f>
        <v>PGTI Voltaic</v>
      </c>
      <c r="D12" s="68" t="str">
        <f>round(arank!$D11*100,0)&amp;"%"</f>
        <v>0%</v>
      </c>
      <c r="E12" s="109"/>
      <c r="F12" s="70"/>
      <c r="G12" s="67" t="str">
        <f>IFERROR(__xludf.DUMMYFUNCTION("sparkline(
  F12 - choose(match(F12, {0, H12:M12}), 0, H12, I12, J12, K12, L12, M12),
  {
    ""charttype"", ""bar"";
    ""max"", choose(match(F12, {0, H12:M12}), H12, I12-H12, J12-I12, K12-J12, L12-K12, M12-L12, 0);
    ""nan"", ""ignore"";
    ""color1"&amp;""", iferror(choose(match(F12, {0, H12:M12}),
      ""#F1ECEB"",
      ""#EED3CE"",
      ""#EEC8C7"",
      ""#B3E0F4"",
      ""#77B7D0"",
      ""#468DA3"",
      ""#468DA3""
    ))
  }
)"),"")</f>
        <v/>
      </c>
      <c r="H12" s="86">
        <f>IFERROR(__xludf.DUMMYFUNCTION("""COMPUTED_VALUE"""),1350.0)</f>
        <v>1350</v>
      </c>
      <c r="I12" s="87">
        <f>IFERROR(__xludf.DUMMYFUNCTION("""COMPUTED_VALUE"""),1650.0)</f>
        <v>1650</v>
      </c>
      <c r="J12" s="88">
        <f>IFERROR(__xludf.DUMMYFUNCTION("""COMPUTED_VALUE"""),1900.0)</f>
        <v>1900</v>
      </c>
      <c r="K12" s="89">
        <f>IFERROR(__xludf.DUMMYFUNCTION("""COMPUTED_VALUE"""),2150.0)</f>
        <v>2150</v>
      </c>
      <c r="L12" s="90">
        <f>IFERROR(__xludf.DUMMYFUNCTION("""COMPUTED_VALUE"""),2400.0)</f>
        <v>2400</v>
      </c>
      <c r="M12" s="91">
        <f>IFERROR(__xludf.DUMMYFUNCTION("""COMPUTED_VALUE"""),2700.0)</f>
        <v>2700</v>
      </c>
      <c r="O12" s="92">
        <f>IFERROR(__xludf.DUMMYFUNCTION("""COMPUTED_VALUE"""),2801.0)</f>
        <v>2801</v>
      </c>
    </row>
    <row r="13" ht="25.5" customHeight="1">
      <c r="C13" s="102" t="str">
        <f>IFERROR(__xludf.DUMMYFUNCTION("""COMPUTED_VALUE"""),"Air CELESTIAL")</f>
        <v>Air CELESTIAL</v>
      </c>
      <c r="D13" s="68" t="str">
        <f>round(arank!$D12*100,0)&amp;"%"</f>
        <v>0%</v>
      </c>
      <c r="E13" s="109"/>
      <c r="F13" s="70"/>
      <c r="G13" s="67" t="str">
        <f>IFERROR(__xludf.DUMMYFUNCTION("sparkline(
  F13 - choose(match(F13, {0, H13:M13}), 0, H13, I13, J13, K13, L13, M13),
  {
    ""charttype"", ""bar"";
    ""max"", choose(match(F13, {0, H13:M13}), H13, I13-H13, J13-I13, K13-J13, L13-K13, M13-L13, 0);
    ""nan"", ""ignore"";
    ""color1"&amp;""", iferror(choose(match(F13, {0, H13:M13}),
      ""#F1ECEB"",
      ""#EED3CE"",
      ""#EEC8C7"",
      ""#B3E0F4"",
      ""#77B7D0"",
      ""#468DA3"",
      ""#468DA3""
    ))
  }
)"),"")</f>
        <v/>
      </c>
      <c r="H13" s="118">
        <f>IFERROR(__xludf.DUMMYFUNCTION("""COMPUTED_VALUE"""),867.0)</f>
        <v>867</v>
      </c>
      <c r="I13" s="119">
        <f>IFERROR(__xludf.DUMMYFUNCTION("""COMPUTED_VALUE"""),875.0)</f>
        <v>875</v>
      </c>
      <c r="J13" s="120">
        <f>IFERROR(__xludf.DUMMYFUNCTION("""COMPUTED_VALUE"""),885.0)</f>
        <v>885</v>
      </c>
      <c r="K13" s="121">
        <f>IFERROR(__xludf.DUMMYFUNCTION("""COMPUTED_VALUE"""),890.0)</f>
        <v>890</v>
      </c>
      <c r="L13" s="122">
        <f>IFERROR(__xludf.DUMMYFUNCTION("""COMPUTED_VALUE"""),894.0)</f>
        <v>894</v>
      </c>
      <c r="M13" s="123">
        <f>IFERROR(__xludf.DUMMYFUNCTION("""COMPUTED_VALUE"""),897.0)</f>
        <v>897</v>
      </c>
      <c r="O13" s="124">
        <f>IFERROR(__xludf.DUMMYFUNCTION("""COMPUTED_VALUE"""),901.5)</f>
        <v>901.5</v>
      </c>
    </row>
    <row r="14" ht="25.5" customHeight="1">
      <c r="C14" s="102" t="str">
        <f>IFERROR(__xludf.DUMMYFUNCTION("""COMPUTED_VALUE"""),"Whisphere Extra Small &amp; Slow")</f>
        <v>Whisphere Extra Small &amp; Slow</v>
      </c>
      <c r="D14" s="68" t="str">
        <f>round(arank!$D13*100,0)&amp;"%"</f>
        <v>0%</v>
      </c>
      <c r="E14" s="109"/>
      <c r="F14" s="70"/>
      <c r="G14" s="67" t="str">
        <f>IFERROR(__xludf.DUMMYFUNCTION("sparkline(
  F14 - choose(match(F14, {0, H14:M14}), 0, H14, I14, J14, K14, L14, M14),
  {
    ""charttype"", ""bar"";
    ""max"", choose(match(F14, {0, H14:M14}), H14, I14-H14, J14-I14, K14-J14, L14-K14, M14-L14, 0);
    ""nan"", ""ignore"";
    ""color1"&amp;""", iferror(choose(match(F14, {0, H14:M14}),
      ""#F1ECEB"",
      ""#EED3CE"",
      ""#EEC8C7"",
      ""#B3E0F4"",
      ""#77B7D0"",
      ""#468DA3"",
      ""#468DA3""
    ))
  }
)"),"")</f>
        <v/>
      </c>
      <c r="H14" s="86">
        <f>IFERROR(__xludf.DUMMYFUNCTION("""COMPUTED_VALUE"""),8500.0)</f>
        <v>8500</v>
      </c>
      <c r="I14" s="87">
        <f>IFERROR(__xludf.DUMMYFUNCTION("""COMPUTED_VALUE"""),10300.0)</f>
        <v>10300</v>
      </c>
      <c r="J14" s="88">
        <f>IFERROR(__xludf.DUMMYFUNCTION("""COMPUTED_VALUE"""),11000.0)</f>
        <v>11000</v>
      </c>
      <c r="K14" s="89">
        <f>IFERROR(__xludf.DUMMYFUNCTION("""COMPUTED_VALUE"""),12500.0)</f>
        <v>12500</v>
      </c>
      <c r="L14" s="90">
        <f>IFERROR(__xludf.DUMMYFUNCTION("""COMPUTED_VALUE"""),13500.0)</f>
        <v>13500</v>
      </c>
      <c r="M14" s="91">
        <f>IFERROR(__xludf.DUMMYFUNCTION("""COMPUTED_VALUE"""),14500.0)</f>
        <v>14500</v>
      </c>
      <c r="O14" s="92">
        <f>IFERROR(__xludf.DUMMYFUNCTION("""COMPUTED_VALUE"""),15230.0)</f>
        <v>15230</v>
      </c>
    </row>
    <row r="15" ht="25.5" customHeight="1">
      <c r="A15" s="23" t="s">
        <v>61</v>
      </c>
      <c r="B15" s="59" t="s">
        <v>62</v>
      </c>
      <c r="C15" s="66" t="str">
        <f>IFERROR(__xludf.DUMMYFUNCTION("""COMPUTED_VALUE"""),"Ground Plaza Sparky v3 Thin")</f>
        <v>Ground Plaza Sparky v3 Thin</v>
      </c>
      <c r="D15" s="68" t="str">
        <f>round(arank!$D14*100,0)&amp;"%"</f>
        <v>0%</v>
      </c>
      <c r="E15" s="125"/>
      <c r="F15" s="70"/>
      <c r="G15" s="67" t="str">
        <f>IFERROR(__xludf.DUMMYFUNCTION("sparkline(
  F15 - choose(match(F15, {0, H15:M15}), 0, H15, I15, J15, K15, L15, M15),
  {
    ""charttype"", ""bar"";
    ""max"", choose(match(F15, {0, H15:M15}), H15, I15-H15, J15-I15, K15-J15, L15-K15, M15-L15, 0);
    ""nan"", ""ignore"";
    ""color1"&amp;""", iferror(choose(match(F15, {0, H15:M15}),
      ""#F1ECEB"",
      ""#EED3CE"",
      ""#EEC8C7"",
      ""#B3E0F4"",
      ""#77B7D0"",
      ""#468DA3"",
      ""#468DA3""
    ))
  }
)"),"")</f>
        <v/>
      </c>
      <c r="H15" s="86">
        <f>IFERROR(__xludf.DUMMYFUNCTION("""COMPUTED_VALUE"""),881.0)</f>
        <v>881</v>
      </c>
      <c r="I15" s="87">
        <f>IFERROR(__xludf.DUMMYFUNCTION("""COMPUTED_VALUE"""),886.0)</f>
        <v>886</v>
      </c>
      <c r="J15" s="88">
        <f>IFERROR(__xludf.DUMMYFUNCTION("""COMPUTED_VALUE"""),891.0)</f>
        <v>891</v>
      </c>
      <c r="K15" s="89">
        <f>IFERROR(__xludf.DUMMYFUNCTION("""COMPUTED_VALUE"""),895.0)</f>
        <v>895</v>
      </c>
      <c r="L15" s="90">
        <f>IFERROR(__xludf.DUMMYFUNCTION("""COMPUTED_VALUE"""),898.0)</f>
        <v>898</v>
      </c>
      <c r="M15" s="91">
        <f>IFERROR(__xludf.DUMMYFUNCTION("""COMPUTED_VALUE"""),901.0)</f>
        <v>901</v>
      </c>
      <c r="O15" s="92">
        <f>IFERROR(__xludf.DUMMYFUNCTION("""COMPUTED_VALUE"""),904.0)</f>
        <v>904</v>
      </c>
    </row>
    <row r="16" ht="25.5" customHeight="1">
      <c r="C16" s="66" t="str">
        <f>IFERROR(__xludf.DUMMYFUNCTION("""COMPUTED_VALUE"""),"Controlsphere OW 150%")</f>
        <v>Controlsphere OW 150%</v>
      </c>
      <c r="D16" s="68" t="str">
        <f>round(arank!$D15*100,0)&amp;"%"</f>
        <v>0%</v>
      </c>
      <c r="E16" s="125"/>
      <c r="F16" s="70"/>
      <c r="G16" s="67" t="str">
        <f>IFERROR(__xludf.DUMMYFUNCTION("sparkline(
  F16 - choose(match(F16, {0, H16:M16}), 0, H16, I16, J16, K16, L16, M16),
  {
    ""charttype"", ""bar"";
    ""max"", choose(match(F16, {0, H16:M16}), H16, I16-H16, J16-I16, K16-J16, L16-K16, M16-L16, 0);
    ""nan"", ""ignore"";
    ""color1"&amp;""", iferror(choose(match(F16, {0, H16:M16}),
      ""#F1ECEB"",
      ""#EED3CE"",
      ""#EEC8C7"",
      ""#B3E0F4"",
      ""#77B7D0"",
      ""#468DA3"",
      ""#468DA3""
    ))
  }
)"),"")</f>
        <v/>
      </c>
      <c r="H16" s="86">
        <f>IFERROR(__xludf.DUMMYFUNCTION("""COMPUTED_VALUE"""),6900.0)</f>
        <v>6900</v>
      </c>
      <c r="I16" s="87">
        <f>IFERROR(__xludf.DUMMYFUNCTION("""COMPUTED_VALUE"""),7600.0)</f>
        <v>7600</v>
      </c>
      <c r="J16" s="88">
        <f>IFERROR(__xludf.DUMMYFUNCTION("""COMPUTED_VALUE"""),8100.0)</f>
        <v>8100</v>
      </c>
      <c r="K16" s="89">
        <f>IFERROR(__xludf.DUMMYFUNCTION("""COMPUTED_VALUE"""),8525.0)</f>
        <v>8525</v>
      </c>
      <c r="L16" s="90">
        <f>IFERROR(__xludf.DUMMYFUNCTION("""COMPUTED_VALUE"""),8950.0)</f>
        <v>8950</v>
      </c>
      <c r="M16" s="91">
        <f>IFERROR(__xludf.DUMMYFUNCTION("""COMPUTED_VALUE"""),9500.0)</f>
        <v>9500</v>
      </c>
      <c r="O16" s="92">
        <f>IFERROR(__xludf.DUMMYFUNCTION("""COMPUTED_VALUE"""),9525.0)</f>
        <v>9525</v>
      </c>
    </row>
    <row r="17" ht="25.5" customHeight="1">
      <c r="B17" s="59" t="s">
        <v>63</v>
      </c>
      <c r="C17" s="102" t="str">
        <f>IFERROR(__xludf.DUMMYFUNCTION("""COMPUTED_VALUE"""),"Flicker Plaza")</f>
        <v>Flicker Plaza</v>
      </c>
      <c r="D17" s="68" t="str">
        <f>round(arank!$D16*100,0)&amp;"%"</f>
        <v>0%</v>
      </c>
      <c r="E17" s="125"/>
      <c r="F17" s="133"/>
      <c r="G17" s="67" t="str">
        <f>IFERROR(__xludf.DUMMYFUNCTION("sparkline(
  F17 - choose(match(F17, {0, H17:M17}), 0, H17, I17, J17, K17, L17, M17),
  {
    ""charttype"", ""bar"";
    ""max"", choose(match(F17, {0, H17:M17}), H17, I17-H17, J17-I17, K17-J17, L17-K17, M17-L17, 0);
    ""nan"", ""ignore"";
    ""color1"&amp;""", iferror(choose(match(F17, {0, H17:M17}),
      ""#F1ECEB"",
      ""#EED3CE"",
      ""#EEC8C7"",
      ""#B3E0F4"",
      ""#77B7D0"",
      ""#468DA3"",
      ""#468DA3""
    ))
  }
)"),"")</f>
        <v/>
      </c>
      <c r="H17" s="86">
        <f>IFERROR(__xludf.DUMMYFUNCTION("""COMPUTED_VALUE"""),890.0)</f>
        <v>890</v>
      </c>
      <c r="I17" s="87">
        <f>IFERROR(__xludf.DUMMYFUNCTION("""COMPUTED_VALUE"""),896.0)</f>
        <v>896</v>
      </c>
      <c r="J17" s="88">
        <f>IFERROR(__xludf.DUMMYFUNCTION("""COMPUTED_VALUE"""),901.0)</f>
        <v>901</v>
      </c>
      <c r="K17" s="89">
        <f>IFERROR(__xludf.DUMMYFUNCTION("""COMPUTED_VALUE"""),905.0)</f>
        <v>905</v>
      </c>
      <c r="L17" s="90">
        <f>IFERROR(__xludf.DUMMYFUNCTION("""COMPUTED_VALUE"""),910.0)</f>
        <v>910</v>
      </c>
      <c r="M17" s="91">
        <f>IFERROR(__xludf.DUMMYFUNCTION("""COMPUTED_VALUE"""),914.0)</f>
        <v>914</v>
      </c>
      <c r="O17" s="92">
        <f>IFERROR(__xludf.DUMMYFUNCTION("""COMPUTED_VALUE"""),916.0)</f>
        <v>916</v>
      </c>
    </row>
    <row r="18" ht="25.5" customHeight="1">
      <c r="C18" s="102" t="str">
        <f>IFERROR(__xludf.DUMMYFUNCTION("""COMPUTED_VALUE"""),"Polarized Hell 20% Slower")</f>
        <v>Polarized Hell 20% Slower</v>
      </c>
      <c r="D18" s="68" t="str">
        <f>round(arank!$D17*100,0)&amp;"%"</f>
        <v>0%</v>
      </c>
      <c r="E18" s="125"/>
      <c r="F18" s="133"/>
      <c r="G18" s="67" t="str">
        <f>IFERROR(__xludf.DUMMYFUNCTION("sparkline(
  F18 - choose(match(F18, {0, H18:M18}), 0, H18, I18, J18, K18, L18, M18),
  {
    ""charttype"", ""bar"";
    ""max"", choose(match(F18, {0, H18:M18}), H18, I18-H18, J18-I18, K18-J18, L18-K18, M18-L18, 0);
    ""nan"", ""ignore"";
    ""color1"&amp;""", iferror(choose(match(F18, {0, H18:M18}),
      ""#F1ECEB"",
      ""#EED3CE"",
      ""#EEC8C7"",
      ""#B3E0F4"",
      ""#77B7D0"",
      ""#468DA3"",
      ""#468DA3""
    ))
  }
)"),"")</f>
        <v/>
      </c>
      <c r="H18" s="86">
        <f>IFERROR(__xludf.DUMMYFUNCTION("""COMPUTED_VALUE"""),2550.0)</f>
        <v>2550</v>
      </c>
      <c r="I18" s="87">
        <f>IFERROR(__xludf.DUMMYFUNCTION("""COMPUTED_VALUE"""),2700.0)</f>
        <v>2700</v>
      </c>
      <c r="J18" s="88">
        <f>IFERROR(__xludf.DUMMYFUNCTION("""COMPUTED_VALUE"""),2850.0)</f>
        <v>2850</v>
      </c>
      <c r="K18" s="89">
        <f>IFERROR(__xludf.DUMMYFUNCTION("""COMPUTED_VALUE"""),3000.0)</f>
        <v>3000</v>
      </c>
      <c r="L18" s="90">
        <f>IFERROR(__xludf.DUMMYFUNCTION("""COMPUTED_VALUE"""),3150.0)</f>
        <v>3150</v>
      </c>
      <c r="M18" s="91">
        <f>IFERROR(__xludf.DUMMYFUNCTION("""COMPUTED_VALUE"""),3300.0)</f>
        <v>3300</v>
      </c>
      <c r="O18" s="92">
        <f>IFERROR(__xludf.DUMMYFUNCTION("""COMPUTED_VALUE"""),3319.0)</f>
        <v>3319</v>
      </c>
    </row>
    <row r="19" ht="25.5" customHeight="1">
      <c r="B19" s="59" t="s">
        <v>64</v>
      </c>
      <c r="C19" s="66" t="str">
        <f>IFERROR(__xludf.DUMMYFUNCTION("""COMPUTED_VALUE"""),"Air Pure")</f>
        <v>Air Pure</v>
      </c>
      <c r="D19" s="68" t="str">
        <f>round(arank!$D18*100,0)&amp;"%"</f>
        <v>0%</v>
      </c>
      <c r="E19" s="137"/>
      <c r="F19" s="133"/>
      <c r="G19" s="67" t="str">
        <f>IFERROR(__xludf.DUMMYFUNCTION("sparkline(
  F19 - choose(match(F19, {0, H19:M19}), 0, H19, I19, J19, K19, L19, M19),
  {
    ""charttype"", ""bar"";
    ""max"", choose(match(F19, {0, H19:M19}), H19, I19-H19, J19-I19, K19-J19, L19-K19, M19-L19, 0);
    ""nan"", ""ignore"";
    ""color1"&amp;""", iferror(choose(match(F19, {0, H19:M19}),
      ""#F1ECEB"",
      ""#EED3CE"",
      ""#EEC8C7"",
      ""#B3E0F4"",
      ""#77B7D0"",
      ""#468DA3"",
      ""#468DA3""
    ))
  }
)"),"")</f>
        <v/>
      </c>
      <c r="H19" s="86">
        <f>IFERROR(__xludf.DUMMYFUNCTION("""COMPUTED_VALUE"""),884.0)</f>
        <v>884</v>
      </c>
      <c r="I19" s="87">
        <f>IFERROR(__xludf.DUMMYFUNCTION("""COMPUTED_VALUE"""),890.0)</f>
        <v>890</v>
      </c>
      <c r="J19" s="88">
        <f>IFERROR(__xludf.DUMMYFUNCTION("""COMPUTED_VALUE"""),895.0)</f>
        <v>895</v>
      </c>
      <c r="K19" s="89">
        <f>IFERROR(__xludf.DUMMYFUNCTION("""COMPUTED_VALUE"""),900.0)</f>
        <v>900</v>
      </c>
      <c r="L19" s="90">
        <f>IFERROR(__xludf.DUMMYFUNCTION("""COMPUTED_VALUE"""),905.0)</f>
        <v>905</v>
      </c>
      <c r="M19" s="91">
        <f>IFERROR(__xludf.DUMMYFUNCTION("""COMPUTED_VALUE"""),909.0)</f>
        <v>909</v>
      </c>
      <c r="O19" s="92">
        <f>IFERROR(__xludf.DUMMYFUNCTION("""COMPUTED_VALUE"""),915.5)</f>
        <v>915.5</v>
      </c>
    </row>
    <row r="20" ht="25.5" customHeight="1">
      <c r="C20" s="66" t="str">
        <f>IFERROR(__xludf.DUMMYFUNCTION("""COMPUTED_VALUE"""),"Air Voltaic Invincible 4")</f>
        <v>Air Voltaic Invincible 4</v>
      </c>
      <c r="D20" s="68" t="str">
        <f>round(arank!$D19*100,0)&amp;"%"</f>
        <v>0%</v>
      </c>
      <c r="E20" s="137"/>
      <c r="F20" s="133"/>
      <c r="G20" s="67" t="str">
        <f>IFERROR(__xludf.DUMMYFUNCTION("sparkline(
  F20 - choose(match(F20, {0, H20:M20}), 0, H20, I20, J20, K20, L20, M20),
  {
    ""charttype"", ""bar"";
    ""max"", choose(match(F20, {0, H20:M20}), H20, I20-H20, J20-I20, K20-J20, L20-K20, M20-L20, 0);
    ""nan"", ""ignore"";
    ""color1"&amp;""", iferror(choose(match(F20, {0, H20:M20}),
      ""#F1ECEB"",
      ""#EED3CE"",
      ""#EEC8C7"",
      ""#B3E0F4"",
      ""#77B7D0"",
      ""#468DA3"",
      ""#468DA3""
    ))
  }
)"),"")</f>
        <v/>
      </c>
      <c r="H20" s="86">
        <f>IFERROR(__xludf.DUMMYFUNCTION("""COMPUTED_VALUE"""),2800.0)</f>
        <v>2800</v>
      </c>
      <c r="I20" s="87">
        <f>IFERROR(__xludf.DUMMYFUNCTION("""COMPUTED_VALUE"""),3150.0)</f>
        <v>3150</v>
      </c>
      <c r="J20" s="88">
        <f>IFERROR(__xludf.DUMMYFUNCTION("""COMPUTED_VALUE"""),3450.0)</f>
        <v>3450</v>
      </c>
      <c r="K20" s="89">
        <f>IFERROR(__xludf.DUMMYFUNCTION("""COMPUTED_VALUE"""),3700.0)</f>
        <v>3700</v>
      </c>
      <c r="L20" s="90">
        <f>IFERROR(__xludf.DUMMYFUNCTION("""COMPUTED_VALUE"""),3900.0)</f>
        <v>3900</v>
      </c>
      <c r="M20" s="91">
        <f>IFERROR(__xludf.DUMMYFUNCTION("""COMPUTED_VALUE"""),4100.0)</f>
        <v>4100</v>
      </c>
      <c r="O20" s="92">
        <f>IFERROR(__xludf.DUMMYFUNCTION("""COMPUTED_VALUE"""),4230.0)</f>
        <v>4230</v>
      </c>
    </row>
    <row r="21" ht="25.5" customHeight="1">
      <c r="A21" s="23" t="s">
        <v>65</v>
      </c>
      <c r="B21" s="59" t="s">
        <v>63</v>
      </c>
      <c r="C21" s="102" t="str">
        <f>IFERROR(__xludf.DUMMYFUNCTION("""COMPUTED_VALUE"""),"Pokeball Frenzy Auto TE Wide")</f>
        <v>Pokeball Frenzy Auto TE Wide</v>
      </c>
      <c r="D21" s="68" t="str">
        <f>round(arank!$D20*100,0)&amp;"%"</f>
        <v>0%</v>
      </c>
      <c r="E21" s="99"/>
      <c r="F21" s="133"/>
      <c r="G21" s="67" t="str">
        <f>IFERROR(__xludf.DUMMYFUNCTION("sparkline(
  F21 - choose(match(F21, {0, H21:M21}), 0, H21, I21, J21, K21, L21, M21),
  {
    ""charttype"", ""bar"";
    ""max"", choose(match(F21, {0, H21:M21}), H21, I21-H21, J21-I21, K21-J21, L21-K21, M21-L21, 0);
    ""nan"", ""ignore"";
    ""color1"&amp;""", iferror(choose(match(F21, {0, H21:M21}),
      ""#F1ECEB"",
      ""#EED3CE"",
      ""#EEC8C7"",
      ""#B3E0F4"",
      ""#77B7D0"",
      ""#468DA3"",
      ""#468DA3""
    ))
  }
)"),"")</f>
        <v/>
      </c>
      <c r="H21" s="86">
        <f>IFERROR(__xludf.DUMMYFUNCTION("""COMPUTED_VALUE"""),3550.0)</f>
        <v>3550</v>
      </c>
      <c r="I21" s="88">
        <f>IFERROR(__xludf.DUMMYFUNCTION("""COMPUTED_VALUE"""),3725.0)</f>
        <v>3725</v>
      </c>
      <c r="J21" s="88">
        <f>IFERROR(__xludf.DUMMYFUNCTION("""COMPUTED_VALUE"""),3850.0)</f>
        <v>3850</v>
      </c>
      <c r="K21" s="89">
        <f>IFERROR(__xludf.DUMMYFUNCTION("""COMPUTED_VALUE"""),4000.0)</f>
        <v>4000</v>
      </c>
      <c r="L21" s="90">
        <f>IFERROR(__xludf.DUMMYFUNCTION("""COMPUTED_VALUE"""),4100.0)</f>
        <v>4100</v>
      </c>
      <c r="M21" s="91">
        <f>IFERROR(__xludf.DUMMYFUNCTION("""COMPUTED_VALUE"""),4200.0)</f>
        <v>4200</v>
      </c>
      <c r="O21" s="141">
        <f>IFERROR(__xludf.DUMMYFUNCTION("""COMPUTED_VALUE"""),4560.0)</f>
        <v>4560</v>
      </c>
    </row>
    <row r="22" ht="25.5" customHeight="1">
      <c r="C22" s="102" t="str">
        <f>IFERROR(__xludf.DUMMYFUNCTION("""COMPUTED_VALUE"""),"1w2ts Reload")</f>
        <v>1w2ts Reload</v>
      </c>
      <c r="D22" s="68" t="str">
        <f>round(arank!$D21*100,0)&amp;"%"</f>
        <v>0%</v>
      </c>
      <c r="E22" s="99"/>
      <c r="F22" s="145"/>
      <c r="G22" s="67" t="str">
        <f>IFERROR(__xludf.DUMMYFUNCTION("sparkline(
  F22 - choose(match(F22, {0, H22:M22}), 0, H22, I22, J22, K22, L22, M22),
  {
    ""charttype"", ""bar"";
    ""max"", choose(match(F22, {0, H22:M22}), H22, I22-H22, J22-I22, K22-J22, L22-K22, M22-L22, 0);
    ""nan"", ""ignore"";
    ""color1"&amp;""", iferror(choose(match(F22, {0, H22:M22}),
      ""#F1ECEB"",
      ""#EED3CE"",
      ""#EEC8C7"",
      ""#B3E0F4"",
      ""#77B7D0"",
      ""#468DA3"",
      ""#468DA3""
    ))
  }
)"),"")</f>
        <v/>
      </c>
      <c r="H22" s="86">
        <f>IFERROR(__xludf.DUMMYFUNCTION("""COMPUTED_VALUE"""),106.0)</f>
        <v>106</v>
      </c>
      <c r="I22" s="87">
        <f>IFERROR(__xludf.DUMMYFUNCTION("""COMPUTED_VALUE"""),114.0)</f>
        <v>114</v>
      </c>
      <c r="J22" s="88">
        <f>IFERROR(__xludf.DUMMYFUNCTION("""COMPUTED_VALUE"""),121.0)</f>
        <v>121</v>
      </c>
      <c r="K22" s="89">
        <f>IFERROR(__xludf.DUMMYFUNCTION("""COMPUTED_VALUE"""),127.0)</f>
        <v>127</v>
      </c>
      <c r="L22" s="90">
        <f>IFERROR(__xludf.DUMMYFUNCTION("""COMPUTED_VALUE"""),133.0)</f>
        <v>133</v>
      </c>
      <c r="M22" s="91">
        <f>IFERROR(__xludf.DUMMYFUNCTION("""COMPUTED_VALUE"""),138.0)</f>
        <v>138</v>
      </c>
      <c r="O22" s="141">
        <f>IFERROR(__xludf.DUMMYFUNCTION("""COMPUTED_VALUE"""),139.0)</f>
        <v>139</v>
      </c>
    </row>
    <row r="23" ht="25.5" customHeight="1">
      <c r="C23" s="102" t="str">
        <f>IFERROR(__xludf.DUMMYFUNCTION("""COMPUTED_VALUE"""),"voxTargetSwitch 2 20% Smaller")</f>
        <v>voxTargetSwitch 2 20% Smaller</v>
      </c>
      <c r="D23" s="68" t="str">
        <f>round(arank!$D22*100,0)&amp;"%"</f>
        <v>0%</v>
      </c>
      <c r="E23" s="99"/>
      <c r="F23" s="145"/>
      <c r="G23" s="67" t="str">
        <f>IFERROR(__xludf.DUMMYFUNCTION("sparkline(
  F23 - choose(match(F23, {0, H23:M23}), 0, H23, I23, J23, K23, L23, M23),
  {
    ""charttype"", ""bar"";
    ""max"", choose(match(F23, {0, H23:M23}), H23, I23-H23, J23-I23, K23-J23, L23-K23, M23-L23, 0);
    ""nan"", ""ignore"";
    ""color1"&amp;""", iferror(choose(match(F23, {0, H23:M23}),
      ""#F1ECEB"",
      ""#EED3CE"",
      ""#EEC8C7"",
      ""#B3E0F4"",
      ""#77B7D0"",
      ""#468DA3"",
      ""#468DA3""
    ))
  }
)"),"")</f>
        <v/>
      </c>
      <c r="H23" s="86">
        <f>IFERROR(__xludf.DUMMYFUNCTION("""COMPUTED_VALUE"""),103.0)</f>
        <v>103</v>
      </c>
      <c r="I23" s="87">
        <f>IFERROR(__xludf.DUMMYFUNCTION("""COMPUTED_VALUE"""),111.0)</f>
        <v>111</v>
      </c>
      <c r="J23" s="88">
        <f>IFERROR(__xludf.DUMMYFUNCTION("""COMPUTED_VALUE"""),116.0)</f>
        <v>116</v>
      </c>
      <c r="K23" s="89">
        <f>IFERROR(__xludf.DUMMYFUNCTION("""COMPUTED_VALUE"""),121.0)</f>
        <v>121</v>
      </c>
      <c r="L23" s="90">
        <f>IFERROR(__xludf.DUMMYFUNCTION("""COMPUTED_VALUE"""),127.0)</f>
        <v>127</v>
      </c>
      <c r="M23" s="91">
        <f>IFERROR(__xludf.DUMMYFUNCTION("""COMPUTED_VALUE"""),133.0)</f>
        <v>133</v>
      </c>
      <c r="O23" s="141">
        <f>IFERROR(__xludf.DUMMYFUNCTION("""COMPUTED_VALUE"""),133.55)</f>
        <v>133.55</v>
      </c>
    </row>
    <row r="24" ht="25.5" customHeight="1">
      <c r="B24" s="59" t="s">
        <v>66</v>
      </c>
      <c r="C24" s="66" t="str">
        <f>IFERROR(__xludf.DUMMYFUNCTION("""COMPUTED_VALUE"""),"BeanTS 30% Smaller")</f>
        <v>BeanTS 30% Smaller</v>
      </c>
      <c r="D24" s="68" t="str">
        <f>round(arank!$D23*100,0)&amp;"%"</f>
        <v>0%</v>
      </c>
      <c r="E24" s="99"/>
      <c r="F24" s="133"/>
      <c r="G24" s="67" t="str">
        <f>IFERROR(__xludf.DUMMYFUNCTION("sparkline(
  F24 - choose(match(F24, {0, H24:M24}), 0, H24, I24, J24, K24, L24, M24),
  {
    ""charttype"", ""bar"";
    ""max"", choose(match(F24, {0, H24:M24}), H24, I24-H24, J24-I24, K24-J24, L24-K24, M24-L24, 0);
    ""nan"", ""ignore"";
    ""color1"&amp;""", iferror(choose(match(F24, {0, H24:M24}),
      ""#F1ECEB"",
      ""#EED3CE"",
      ""#EEC8C7"",
      ""#B3E0F4"",
      ""#77B7D0"",
      ""#468DA3"",
      ""#468DA3""
    ))
  }
)"),"")</f>
        <v/>
      </c>
      <c r="H24" s="86">
        <f>IFERROR(__xludf.DUMMYFUNCTION("""COMPUTED_VALUE"""),119.0)</f>
        <v>119</v>
      </c>
      <c r="I24" s="87">
        <f>IFERROR(__xludf.DUMMYFUNCTION("""COMPUTED_VALUE"""),127.0)</f>
        <v>127</v>
      </c>
      <c r="J24" s="88">
        <f>IFERROR(__xludf.DUMMYFUNCTION("""COMPUTED_VALUE"""),134.0)</f>
        <v>134</v>
      </c>
      <c r="K24" s="89">
        <f>IFERROR(__xludf.DUMMYFUNCTION("""COMPUTED_VALUE"""),139.0)</f>
        <v>139</v>
      </c>
      <c r="L24" s="90">
        <f>IFERROR(__xludf.DUMMYFUNCTION("""COMPUTED_VALUE"""),143.0)</f>
        <v>143</v>
      </c>
      <c r="M24" s="91">
        <f>IFERROR(__xludf.DUMMYFUNCTION("""COMPUTED_VALUE"""),147.0)</f>
        <v>147</v>
      </c>
      <c r="O24" s="141">
        <f>IFERROR(__xludf.DUMMYFUNCTION("""COMPUTED_VALUE"""),150.0)</f>
        <v>150</v>
      </c>
    </row>
    <row r="25" ht="25.5" customHeight="1">
      <c r="C25" s="66" t="str">
        <f>IFERROR(__xludf.DUMMYFUNCTION("""COMPUTED_VALUE"""),"FloatTS Angelic")</f>
        <v>FloatTS Angelic</v>
      </c>
      <c r="D25" s="68" t="str">
        <f>round(arank!$D24*100,0)&amp;"%"</f>
        <v>0%</v>
      </c>
      <c r="E25" s="99"/>
      <c r="F25" s="145"/>
      <c r="G25" s="67" t="str">
        <f>IFERROR(__xludf.DUMMYFUNCTION("sparkline(
  F25 - choose(match(F25, {0, H25:M25}), 0, H25, I25, J25, K25, L25, M25),
  {
    ""charttype"", ""bar"";
    ""max"", choose(match(F25, {0, H25:M25}), H25, I25-H25, J25-I25, K25-J25, L25-K25, M25-L25, 0);
    ""nan"", ""ignore"";
    ""color1"&amp;""", iferror(choose(match(F25, {0, H25:M25}),
      ""#F1ECEB"",
      ""#EED3CE"",
      ""#EEC8C7"",
      ""#B3E0F4"",
      ""#77B7D0"",
      ""#468DA3"",
      ""#468DA3""
    ))
  }
)"),"")</f>
        <v/>
      </c>
      <c r="H25" s="86">
        <f>IFERROR(__xludf.DUMMYFUNCTION("""COMPUTED_VALUE"""),94.0)</f>
        <v>94</v>
      </c>
      <c r="I25" s="87">
        <f>IFERROR(__xludf.DUMMYFUNCTION("""COMPUTED_VALUE"""),100.0)</f>
        <v>100</v>
      </c>
      <c r="J25" s="88">
        <f>IFERROR(__xludf.DUMMYFUNCTION("""COMPUTED_VALUE"""),105.0)</f>
        <v>105</v>
      </c>
      <c r="K25" s="89">
        <f>IFERROR(__xludf.DUMMYFUNCTION("""COMPUTED_VALUE"""),110.0)</f>
        <v>110</v>
      </c>
      <c r="L25" s="90">
        <f>IFERROR(__xludf.DUMMYFUNCTION("""COMPUTED_VALUE"""),114.0)</f>
        <v>114</v>
      </c>
      <c r="M25" s="91">
        <f>IFERROR(__xludf.DUMMYFUNCTION("""COMPUTED_VALUE"""),118.0)</f>
        <v>118</v>
      </c>
      <c r="O25" s="141">
        <f>IFERROR(__xludf.DUMMYFUNCTION("""COMPUTED_VALUE"""),122.0)</f>
        <v>122</v>
      </c>
    </row>
    <row r="26" ht="25.5" customHeight="1">
      <c r="B26" s="59" t="s">
        <v>67</v>
      </c>
      <c r="C26" s="102" t="str">
        <f>IFERROR(__xludf.DUMMYFUNCTION("""COMPUTED_VALUE"""),"WaldoTS")</f>
        <v>WaldoTS</v>
      </c>
      <c r="D26" s="68" t="str">
        <f>round(arank!$D25*100,0)&amp;"%"</f>
        <v>0%</v>
      </c>
      <c r="E26" s="99"/>
      <c r="F26" s="133"/>
      <c r="G26" s="67" t="str">
        <f>IFERROR(__xludf.DUMMYFUNCTION("sparkline(
  F26 - choose(match(F26, {0, H26:M26}), 0, H26, I26, J26, K26, L26, M26),
  {
    ""charttype"", ""bar"";
    ""max"", choose(match(F26, {0, H26:M26}), H26, I26-H26, J26-I26, K26-J26, L26-K26, M26-L26, 0);
    ""nan"", ""ignore"";
    ""color1"&amp;""", iferror(choose(match(F26, {0, H26:M26}),
      ""#F1ECEB"",
      ""#EED3CE"",
      ""#EEC8C7"",
      ""#B3E0F4"",
      ""#77B7D0"",
      ""#468DA3"",
      ""#468DA3""
    ))
  }
)"),"")</f>
        <v/>
      </c>
      <c r="H26" s="86">
        <f>IFERROR(__xludf.DUMMYFUNCTION("""COMPUTED_VALUE"""),145.0)</f>
        <v>145</v>
      </c>
      <c r="I26" s="87">
        <f>IFERROR(__xludf.DUMMYFUNCTION("""COMPUTED_VALUE"""),153.0)</f>
        <v>153</v>
      </c>
      <c r="J26" s="88">
        <f>IFERROR(__xludf.DUMMYFUNCTION("""COMPUTED_VALUE"""),160.0)</f>
        <v>160</v>
      </c>
      <c r="K26" s="89">
        <f>IFERROR(__xludf.DUMMYFUNCTION("""COMPUTED_VALUE"""),166.0)</f>
        <v>166</v>
      </c>
      <c r="L26" s="90">
        <f>IFERROR(__xludf.DUMMYFUNCTION("""COMPUTED_VALUE"""),173.0)</f>
        <v>173</v>
      </c>
      <c r="M26" s="91">
        <f>IFERROR(__xludf.DUMMYFUNCTION("""COMPUTED_VALUE"""),178.0)</f>
        <v>178</v>
      </c>
      <c r="O26" s="141">
        <f>IFERROR(__xludf.DUMMYFUNCTION("""COMPUTED_VALUE"""),176.0)</f>
        <v>176</v>
      </c>
    </row>
    <row r="27" ht="25.5" customHeight="1">
      <c r="C27" s="102" t="str">
        <f>IFERROR(__xludf.DUMMYFUNCTION("""COMPUTED_VALUE"""),"devTS Goated NR Static Small 5Bot")</f>
        <v>devTS Goated NR Static Small 5Bot</v>
      </c>
      <c r="D27" s="68" t="str">
        <f>round(arank!$D26*100,0)&amp;"%"</f>
        <v>0%</v>
      </c>
      <c r="E27" s="99"/>
      <c r="F27" s="145"/>
      <c r="G27" s="67" t="str">
        <f>IFERROR(__xludf.DUMMYFUNCTION("sparkline(
  F27 - choose(match(F27, {0, H27:M27}), 0, H27, I27, J27, K27, L27, M27),
  {
    ""charttype"", ""bar"";
    ""max"", choose(match(F27, {0, H27:M27}), H27, I27-H27, J27-I27, K27-J27, L27-K27, M27-L27, 0);
    ""nan"", ""ignore"";
    ""color1"&amp;""", iferror(choose(match(F27, {0, H27:M27}),
      ""#F1ECEB"",
      ""#EED3CE"",
      ""#EEC8C7"",
      ""#B3E0F4"",
      ""#77B7D0"",
      ""#468DA3"",
      ""#468DA3""
    ))
  }
)"),"")</f>
        <v/>
      </c>
      <c r="H27" s="86">
        <f>IFERROR(__xludf.DUMMYFUNCTION("""COMPUTED_VALUE"""),750.0)</f>
        <v>750</v>
      </c>
      <c r="I27" s="87">
        <f>IFERROR(__xludf.DUMMYFUNCTION("""COMPUTED_VALUE"""),775.0)</f>
        <v>775</v>
      </c>
      <c r="J27" s="88">
        <f>IFERROR(__xludf.DUMMYFUNCTION("""COMPUTED_VALUE"""),800.0)</f>
        <v>800</v>
      </c>
      <c r="K27" s="89">
        <f>IFERROR(__xludf.DUMMYFUNCTION("""COMPUTED_VALUE"""),825.0)</f>
        <v>825</v>
      </c>
      <c r="L27" s="90">
        <f>IFERROR(__xludf.DUMMYFUNCTION("""COMPUTED_VALUE"""),850.0)</f>
        <v>850</v>
      </c>
      <c r="M27" s="91">
        <f>IFERROR(__xludf.DUMMYFUNCTION("""COMPUTED_VALUE"""),870.0)</f>
        <v>870</v>
      </c>
      <c r="O27" s="141">
        <f>IFERROR(__xludf.DUMMYFUNCTION("""COMPUTED_VALUE"""),873.0)</f>
        <v>873</v>
      </c>
    </row>
    <row r="28" ht="25.5" customHeight="1">
      <c r="B28" s="59" t="s">
        <v>68</v>
      </c>
      <c r="C28" s="66" t="str">
        <f>IFERROR(__xludf.DUMMYFUNCTION("""COMPUTED_VALUE"""),"domiSwitch")</f>
        <v>domiSwitch</v>
      </c>
      <c r="D28" s="68" t="str">
        <f>round(arank!$D27*100,0)&amp;"%"</f>
        <v>0%</v>
      </c>
      <c r="E28" s="156"/>
      <c r="F28" s="133"/>
      <c r="G28" s="67" t="str">
        <f>IFERROR(__xludf.DUMMYFUNCTION("sparkline(
  F28 - choose(match(F28, {0, H28:M28}), 0, H28, I28, J28, K28, L28, M28),
  {
    ""charttype"", ""bar"";
    ""max"", choose(match(F28, {0, H28:M28}), H28, I28-H28, J28-I28, K28-J28, L28-K28, M28-L28, 0);
    ""nan"", ""ignore"";
    ""color1"&amp;""", iferror(choose(match(F28, {0, H28:M28}),
      ""#F1ECEB"",
      ""#EED3CE"",
      ""#EEC8C7"",
      ""#B3E0F4"",
      ""#77B7D0"",
      ""#468DA3"",
      ""#468DA3""
    ))
  }
)"),"")</f>
        <v/>
      </c>
      <c r="H28" s="86">
        <f>IFERROR(__xludf.DUMMYFUNCTION("""COMPUTED_VALUE"""),5550.0)</f>
        <v>5550</v>
      </c>
      <c r="I28" s="87">
        <f>IFERROR(__xludf.DUMMYFUNCTION("""COMPUTED_VALUE"""),5950.0)</f>
        <v>5950</v>
      </c>
      <c r="J28" s="88">
        <f>IFERROR(__xludf.DUMMYFUNCTION("""COMPUTED_VALUE"""),6250.0)</f>
        <v>6250</v>
      </c>
      <c r="K28" s="89">
        <f>IFERROR(__xludf.DUMMYFUNCTION("""COMPUTED_VALUE"""),6550.0)</f>
        <v>6550</v>
      </c>
      <c r="L28" s="90">
        <f>IFERROR(__xludf.DUMMYFUNCTION("""COMPUTED_VALUE"""),6850.0)</f>
        <v>6850</v>
      </c>
      <c r="M28" s="91">
        <f>IFERROR(__xludf.DUMMYFUNCTION("""COMPUTED_VALUE"""),7200.0)</f>
        <v>7200</v>
      </c>
      <c r="O28" s="141">
        <f>IFERROR(__xludf.DUMMYFUNCTION("""COMPUTED_VALUE"""),7433.0)</f>
        <v>7433</v>
      </c>
    </row>
    <row r="29" ht="25.5" customHeight="1">
      <c r="C29" s="66" t="str">
        <f>IFERROR(__xludf.DUMMYFUNCTION("""COMPUTED_VALUE"""),"tamTargetSwitch Smooth")</f>
        <v>tamTargetSwitch Smooth</v>
      </c>
      <c r="D29" s="68" t="str">
        <f>round(arank!$D28*100,0)&amp;"%"</f>
        <v>0%</v>
      </c>
      <c r="E29" s="156"/>
      <c r="F29" s="145"/>
      <c r="G29" s="67" t="str">
        <f>IFERROR(__xludf.DUMMYFUNCTION("sparkline(
  F29 - choose(match(F29, {0, H29:M29}), 0, H29, I29, J29, K29, L29, M29),
  {
    ""charttype"", ""bar"";
    ""max"", choose(match(F29, {0, H29:M29}), H29, I29-H29, J29-I29, K29-J29, L29-K29, M29-L29, 0);
    ""nan"", ""ignore"";
    ""color1"&amp;""", iferror(choose(match(F29, {0, H29:M29}),
      ""#F1ECEB"",
      ""#EED3CE"",
      ""#EEC8C7"",
      ""#B3E0F4"",
      ""#77B7D0"",
      ""#468DA3"",
      ""#468DA3""
    ))
  }
)"),"")</f>
        <v/>
      </c>
      <c r="H29" s="86">
        <f>IFERROR(__xludf.DUMMYFUNCTION("""COMPUTED_VALUE"""),32.0)</f>
        <v>32</v>
      </c>
      <c r="I29" s="87">
        <f>IFERROR(__xludf.DUMMYFUNCTION("""COMPUTED_VALUE"""),35.0)</f>
        <v>35</v>
      </c>
      <c r="J29" s="88">
        <f>IFERROR(__xludf.DUMMYFUNCTION("""COMPUTED_VALUE"""),37.0)</f>
        <v>37</v>
      </c>
      <c r="K29" s="89">
        <f>IFERROR(__xludf.DUMMYFUNCTION("""COMPUTED_VALUE"""),39.0)</f>
        <v>39</v>
      </c>
      <c r="L29" s="90">
        <f>IFERROR(__xludf.DUMMYFUNCTION("""COMPUTED_VALUE"""),42.0)</f>
        <v>42</v>
      </c>
      <c r="M29" s="91">
        <f>IFERROR(__xludf.DUMMYFUNCTION("""COMPUTED_VALUE"""),45.0)</f>
        <v>45</v>
      </c>
      <c r="O29" s="141">
        <f>IFERROR(__xludf.DUMMYFUNCTION("""COMPUTED_VALUE"""),45.0)</f>
        <v>45</v>
      </c>
    </row>
    <row r="30" ht="25.5" customHeight="1">
      <c r="A30" s="23" t="s">
        <v>69</v>
      </c>
      <c r="B30" s="59" t="s">
        <v>64</v>
      </c>
      <c r="C30" s="102" t="str">
        <f>IFERROR(__xludf.DUMMYFUNCTION("""COMPUTED_VALUE"""),"Pasu Reload Goated")</f>
        <v>Pasu Reload Goated</v>
      </c>
      <c r="D30" s="68" t="str">
        <f>round(arank!$D29*100,0)&amp;"%"</f>
        <v>0%</v>
      </c>
      <c r="E30" s="156"/>
      <c r="F30" s="133"/>
      <c r="G30" s="67" t="str">
        <f>IFERROR(__xludf.DUMMYFUNCTION("sparkline(
  F30 - choose(match(F30, {0, H30:M30}), 0, H30, I30, J30, K30, L30, M30),
  {
    ""charttype"", ""bar"";
    ""max"", choose(match(F30, {0, H30:M30}), H30, I30-H30, J30-I30, K30-J30, L30-K30, M30-L30, 0);
    ""nan"", ""ignore"";
    ""color1"&amp;""", iferror(choose(match(F30, {0, H30:M30}),
      ""#F1ECEB"",
      ""#EED3CE"",
      ""#EEC8C7"",
      ""#B3E0F4"",
      ""#77B7D0"",
      ""#468DA3"",
      ""#468DA3""
    ))
  }
)"),"")</f>
        <v/>
      </c>
      <c r="H30" s="86">
        <f>IFERROR(__xludf.DUMMYFUNCTION("""COMPUTED_VALUE"""),110.0)</f>
        <v>110</v>
      </c>
      <c r="I30" s="87">
        <f>IFERROR(__xludf.DUMMYFUNCTION("""COMPUTED_VALUE"""),120.0)</f>
        <v>120</v>
      </c>
      <c r="J30" s="88">
        <f>IFERROR(__xludf.DUMMYFUNCTION("""COMPUTED_VALUE"""),130.0)</f>
        <v>130</v>
      </c>
      <c r="K30" s="89">
        <f>IFERROR(__xludf.DUMMYFUNCTION("""COMPUTED_VALUE"""),140.0)</f>
        <v>140</v>
      </c>
      <c r="L30" s="90">
        <f>IFERROR(__xludf.DUMMYFUNCTION("""COMPUTED_VALUE"""),150.0)</f>
        <v>150</v>
      </c>
      <c r="M30" s="91">
        <f>IFERROR(__xludf.DUMMYFUNCTION("""COMPUTED_VALUE"""),160.0)</f>
        <v>160</v>
      </c>
      <c r="O30" s="141">
        <f>IFERROR(__xludf.DUMMYFUNCTION("""COMPUTED_VALUE"""),167.0)</f>
        <v>167</v>
      </c>
    </row>
    <row r="31" ht="25.5" customHeight="1">
      <c r="C31" s="102" t="str">
        <f>IFERROR(__xludf.DUMMYFUNCTION("""COMPUTED_VALUE"""),"VT Bounceshot Advanced ")</f>
        <v>VT Bounceshot Advanced </v>
      </c>
      <c r="D31" s="68" t="str">
        <f>round(arank!$D30*100,0)&amp;"%"</f>
        <v>0%</v>
      </c>
      <c r="E31" s="156"/>
      <c r="F31" s="133"/>
      <c r="G31" s="67" t="str">
        <f>IFERROR(__xludf.DUMMYFUNCTION("sparkline(
  F31 - choose(match(F31, {0, H31:M31}), 0, H31, I31, J31, K31, L31, M31),
  {
    ""charttype"", ""bar"";
    ""max"", choose(match(F31, {0, H31:M31}), H31, I31-H31, J31-I31, K31-J31, L31-K31, M31-L31, 0);
    ""nan"", ""ignore"";
    ""color1"&amp;""", iferror(choose(match(F31, {0, H31:M31}),
      ""#F1ECEB"",
      ""#EED3CE"",
      ""#EEC8C7"",
      ""#B3E0F4"",
      ""#77B7D0"",
      ""#468DA3"",
      ""#468DA3""
    ))
  }
)"),"")</f>
        <v/>
      </c>
      <c r="H31" s="86">
        <f>IFERROR(__xludf.DUMMYFUNCTION("""COMPUTED_VALUE"""),730.0)</f>
        <v>730</v>
      </c>
      <c r="I31" s="87">
        <f>IFERROR(__xludf.DUMMYFUNCTION("""COMPUTED_VALUE"""),790.0)</f>
        <v>790</v>
      </c>
      <c r="J31" s="88">
        <f>IFERROR(__xludf.DUMMYFUNCTION("""COMPUTED_VALUE"""),850.0)</f>
        <v>850</v>
      </c>
      <c r="K31" s="89">
        <f>IFERROR(__xludf.DUMMYFUNCTION("""COMPUTED_VALUE"""),910.0)</f>
        <v>910</v>
      </c>
      <c r="L31" s="90">
        <f>IFERROR(__xludf.DUMMYFUNCTION("""COMPUTED_VALUE"""),950.0)</f>
        <v>950</v>
      </c>
      <c r="M31" s="91">
        <f>IFERROR(__xludf.DUMMYFUNCTION("""COMPUTED_VALUE"""),1000.0)</f>
        <v>1000</v>
      </c>
      <c r="O31" s="141">
        <f>IFERROR(__xludf.DUMMYFUNCTION("""COMPUTED_VALUE"""),1010.0)</f>
        <v>1010</v>
      </c>
    </row>
    <row r="32" ht="25.5" customHeight="1">
      <c r="C32" s="102" t="str">
        <f>IFERROR(__xludf.DUMMYFUNCTION("""COMPUTED_VALUE"""),"Controlsphere Click Smaller")</f>
        <v>Controlsphere Click Smaller</v>
      </c>
      <c r="D32" s="68" t="str">
        <f>round(arank!$D31*100,0)&amp;"%"</f>
        <v>0%</v>
      </c>
      <c r="E32" s="156"/>
      <c r="F32" s="145"/>
      <c r="G32" s="67" t="str">
        <f>IFERROR(__xludf.DUMMYFUNCTION("sparkline(
  F32 - choose(match(F32, {0, H32:M32}), 0, H32, I32, J32, K32, L32, M32),
  {
    ""charttype"", ""bar"";
    ""max"", choose(match(F32, {0, H32:M32}), H32, I32-H32, J32-I32, K32-J32, L32-K32, M32-L32, 0);
    ""nan"", ""ignore"";
    ""color1"&amp;""", iferror(choose(match(F32, {0, H32:M32}),
      ""#F1ECEB"",
      ""#EED3CE"",
      ""#EEC8C7"",
      ""#B3E0F4"",
      ""#77B7D0"",
      ""#468DA3"",
      ""#468DA3""
    ))
  }
)"),"")</f>
        <v/>
      </c>
      <c r="H32" s="86">
        <f>IFERROR(__xludf.DUMMYFUNCTION("""COMPUTED_VALUE"""),39.0)</f>
        <v>39</v>
      </c>
      <c r="I32" s="87">
        <f>IFERROR(__xludf.DUMMYFUNCTION("""COMPUTED_VALUE"""),45.0)</f>
        <v>45</v>
      </c>
      <c r="J32" s="88">
        <f>IFERROR(__xludf.DUMMYFUNCTION("""COMPUTED_VALUE"""),51.0)</f>
        <v>51</v>
      </c>
      <c r="K32" s="89">
        <f>IFERROR(__xludf.DUMMYFUNCTION("""COMPUTED_VALUE"""),56.0)</f>
        <v>56</v>
      </c>
      <c r="L32" s="90">
        <f>IFERROR(__xludf.DUMMYFUNCTION("""COMPUTED_VALUE"""),60.0)</f>
        <v>60</v>
      </c>
      <c r="M32" s="91">
        <f>IFERROR(__xludf.DUMMYFUNCTION("""COMPUTED_VALUE"""),64.0)</f>
        <v>64</v>
      </c>
      <c r="O32" s="141">
        <f>IFERROR(__xludf.DUMMYFUNCTION("""COMPUTED_VALUE"""),64.0)</f>
        <v>64</v>
      </c>
    </row>
    <row r="33" ht="25.5" customHeight="1">
      <c r="B33" s="59" t="s">
        <v>70</v>
      </c>
      <c r="C33" s="66" t="str">
        <f>IFERROR(__xludf.DUMMYFUNCTION("""COMPUTED_VALUE"""),"Popcorn MV Advanced")</f>
        <v>Popcorn MV Advanced</v>
      </c>
      <c r="D33" s="68" t="str">
        <f>round(arank!$D32*100,0)&amp;"%"</f>
        <v>0%</v>
      </c>
      <c r="E33" s="156"/>
      <c r="F33" s="145"/>
      <c r="G33" s="67" t="str">
        <f>IFERROR(__xludf.DUMMYFUNCTION("sparkline(
  F33 - choose(match(F33, {0, H33:M33}), 0, H33, I33, J33, K33, L33, M33),
  {
    ""charttype"", ""bar"";
    ""max"", choose(match(F33, {0, H33:M33}), H33, I33-H33, J33-I33, K33-J33, L33-K33, M33-L33, 0);
    ""nan"", ""ignore"";
    ""color1"&amp;""", iferror(choose(match(F33, {0, H33:M33}),
      ""#F1ECEB"",
      ""#EED3CE"",
      ""#EEC8C7"",
      ""#B3E0F4"",
      ""#77B7D0"",
      ""#468DA3"",
      ""#468DA3""
    ))
  }
)"),"")</f>
        <v/>
      </c>
      <c r="H33" s="86">
        <f>IFERROR(__xludf.DUMMYFUNCTION("""COMPUTED_VALUE"""),290.0)</f>
        <v>290</v>
      </c>
      <c r="I33" s="87">
        <f>IFERROR(__xludf.DUMMYFUNCTION("""COMPUTED_VALUE"""),330.0)</f>
        <v>330</v>
      </c>
      <c r="J33" s="88">
        <f>IFERROR(__xludf.DUMMYFUNCTION("""COMPUTED_VALUE"""),370.0)</f>
        <v>370</v>
      </c>
      <c r="K33" s="89">
        <f>IFERROR(__xludf.DUMMYFUNCTION("""COMPUTED_VALUE"""),420.0)</f>
        <v>420</v>
      </c>
      <c r="L33" s="90">
        <f>IFERROR(__xludf.DUMMYFUNCTION("""COMPUTED_VALUE"""),460.0)</f>
        <v>460</v>
      </c>
      <c r="M33" s="91">
        <f>IFERROR(__xludf.DUMMYFUNCTION("""COMPUTED_VALUE"""),500.0)</f>
        <v>500</v>
      </c>
      <c r="O33" s="141">
        <f>IFERROR(__xludf.DUMMYFUNCTION("""COMPUTED_VALUE"""),520.0)</f>
        <v>520</v>
      </c>
    </row>
    <row r="34" ht="25.5" customHeight="1">
      <c r="C34" s="66" t="str">
        <f>IFERROR(__xludf.DUMMYFUNCTION("""COMPUTED_VALUE"""),"Pasu Angelic")</f>
        <v>Pasu Angelic</v>
      </c>
      <c r="D34" s="68" t="str">
        <f>round(arank!$D33*100,0)&amp;"%"</f>
        <v>0%</v>
      </c>
      <c r="E34" s="156"/>
      <c r="F34" s="133"/>
      <c r="G34" s="67" t="str">
        <f>IFERROR(__xludf.DUMMYFUNCTION("sparkline(
  F34 - choose(match(F34, {0, H34:M34}), 0, H34, I34, J34, K34, L34, M34),
  {
    ""charttype"", ""bar"";
    ""max"", choose(match(F34, {0, H34:M34}), H34, I34-H34, J34-I34, K34-J34, L34-K34, M34-L34, 0);
    ""nan"", ""ignore"";
    ""color1"&amp;""", iferror(choose(match(F34, {0, H34:M34}),
      ""#F1ECEB"",
      ""#EED3CE"",
      ""#EEC8C7"",
      ""#B3E0F4"",
      ""#77B7D0"",
      ""#468DA3"",
      ""#468DA3""
    ))
  }
)"),"")</f>
        <v/>
      </c>
      <c r="H34" s="86">
        <f>IFERROR(__xludf.DUMMYFUNCTION("""COMPUTED_VALUE"""),87.0)</f>
        <v>87</v>
      </c>
      <c r="I34" s="87">
        <f>IFERROR(__xludf.DUMMYFUNCTION("""COMPUTED_VALUE"""),94.0)</f>
        <v>94</v>
      </c>
      <c r="J34" s="88">
        <f>IFERROR(__xludf.DUMMYFUNCTION("""COMPUTED_VALUE"""),102.0)</f>
        <v>102</v>
      </c>
      <c r="K34" s="89">
        <f>IFERROR(__xludf.DUMMYFUNCTION("""COMPUTED_VALUE"""),110.0)</f>
        <v>110</v>
      </c>
      <c r="L34" s="90">
        <f>IFERROR(__xludf.DUMMYFUNCTION("""COMPUTED_VALUE"""),118.0)</f>
        <v>118</v>
      </c>
      <c r="M34" s="91">
        <f>IFERROR(__xludf.DUMMYFUNCTION("""COMPUTED_VALUE"""),125.0)</f>
        <v>125</v>
      </c>
      <c r="O34" s="141">
        <f>IFERROR(__xludf.DUMMYFUNCTION("""COMPUTED_VALUE"""),126.0)</f>
        <v>126</v>
      </c>
    </row>
    <row r="35" ht="25.5" customHeight="1">
      <c r="C35" s="66" t="str">
        <f>IFERROR(__xludf.DUMMYFUNCTION("""COMPUTED_VALUE"""),"1w2ts Pasu Perfected 30% Smaller")</f>
        <v>1w2ts Pasu Perfected 30% Smaller</v>
      </c>
      <c r="D35" s="68" t="str">
        <f>round(arank!$D34*100,0)&amp;"%"</f>
        <v>0%</v>
      </c>
      <c r="E35" s="156"/>
      <c r="F35" s="133"/>
      <c r="G35" s="67" t="str">
        <f>IFERROR(__xludf.DUMMYFUNCTION("sparkline(
  F35 - choose(match(F35, {0, H35:M35}), 0, H35, I35, J35, K35, L35, M35),
  {
    ""charttype"", ""bar"";
    ""max"", choose(match(F35, {0, H35:M35}), H35, I35-H35, J35-I35, K35-J35, L35-K35, M35-L35, 0);
    ""nan"", ""ignore"";
    ""color1"&amp;""", iferror(choose(match(F35, {0, H35:M35}),
      ""#F1ECEB"",
      ""#EED3CE"",
      ""#EEC8C7"",
      ""#B3E0F4"",
      ""#77B7D0"",
      ""#468DA3"",
      ""#468DA3""
    ))
  }
)"),"")</f>
        <v/>
      </c>
      <c r="H35" s="86">
        <f>IFERROR(__xludf.DUMMYFUNCTION("""COMPUTED_VALUE"""),75.0)</f>
        <v>75</v>
      </c>
      <c r="I35" s="87">
        <f>IFERROR(__xludf.DUMMYFUNCTION("""COMPUTED_VALUE"""),82.0)</f>
        <v>82</v>
      </c>
      <c r="J35" s="88">
        <f>IFERROR(__xludf.DUMMYFUNCTION("""COMPUTED_VALUE"""),87.0)</f>
        <v>87</v>
      </c>
      <c r="K35" s="89">
        <f>IFERROR(__xludf.DUMMYFUNCTION("""COMPUTED_VALUE"""),93.0)</f>
        <v>93</v>
      </c>
      <c r="L35" s="90">
        <f>IFERROR(__xludf.DUMMYFUNCTION("""COMPUTED_VALUE"""),98.0)</f>
        <v>98</v>
      </c>
      <c r="M35" s="91">
        <f>IFERROR(__xludf.DUMMYFUNCTION("""COMPUTED_VALUE"""),103.0)</f>
        <v>103</v>
      </c>
      <c r="O35" s="141">
        <f>IFERROR(__xludf.DUMMYFUNCTION("""COMPUTED_VALUE"""),104.0)</f>
        <v>104</v>
      </c>
    </row>
    <row r="36" ht="25.5" customHeight="1">
      <c r="B36" s="59" t="s">
        <v>71</v>
      </c>
      <c r="C36" s="102" t="str">
        <f>IFERROR(__xludf.DUMMYFUNCTION("""COMPUTED_VALUE"""),"1w3ts Pasu Perfected Micro Goated")</f>
        <v>1w3ts Pasu Perfected Micro Goated</v>
      </c>
      <c r="D36" s="68" t="str">
        <f>round(arank!$D35*100,0)&amp;"%"</f>
        <v>0%</v>
      </c>
      <c r="E36" s="156"/>
      <c r="F36" s="133"/>
      <c r="G36" s="67" t="str">
        <f>IFERROR(__xludf.DUMMYFUNCTION("sparkline(
  F36 - choose(match(F36, {0, H36:M36}), 0, H36, I36, J36, K36, L36, M36),
  {
    ""charttype"", ""bar"";
    ""max"", choose(match(F36, {0, H36:M36}), H36, I36-H36, J36-I36, K36-J36, L36-K36, M36-L36, 0);
    ""nan"", ""ignore"";
    ""color1"&amp;""", iferror(choose(match(F36, {0, H36:M36}),
      ""#F1ECEB"",
      ""#EED3CE"",
      ""#EEC8C7"",
      ""#B3E0F4"",
      ""#77B7D0"",
      ""#468DA3"",
      ""#468DA3""
    ))
  }
)"),"")</f>
        <v/>
      </c>
      <c r="H36" s="86">
        <f>IFERROR(__xludf.DUMMYFUNCTION("""COMPUTED_VALUE"""),1100.0)</f>
        <v>1100</v>
      </c>
      <c r="I36" s="87">
        <f>IFERROR(__xludf.DUMMYFUNCTION("""COMPUTED_VALUE"""),1200.0)</f>
        <v>1200</v>
      </c>
      <c r="J36" s="88">
        <f>IFERROR(__xludf.DUMMYFUNCTION("""COMPUTED_VALUE"""),1300.0)</f>
        <v>1300</v>
      </c>
      <c r="K36" s="89">
        <f>IFERROR(__xludf.DUMMYFUNCTION("""COMPUTED_VALUE"""),1400.0)</f>
        <v>1400</v>
      </c>
      <c r="L36" s="90">
        <f>IFERROR(__xludf.DUMMYFUNCTION("""COMPUTED_VALUE"""),1500.0)</f>
        <v>1500</v>
      </c>
      <c r="M36" s="91">
        <f>IFERROR(__xludf.DUMMYFUNCTION("""COMPUTED_VALUE"""),1560.0)</f>
        <v>1560</v>
      </c>
      <c r="O36" s="141">
        <f>IFERROR(__xludf.DUMMYFUNCTION("""COMPUTED_VALUE"""),1522.0)</f>
        <v>1522</v>
      </c>
    </row>
    <row r="37" ht="25.5" customHeight="1">
      <c r="C37" s="102" t="str">
        <f>IFERROR(__xludf.DUMMYFUNCTION("""COMPUTED_VALUE"""),"Floating Heads Timing 400% Fixed")</f>
        <v>Floating Heads Timing 400% Fixed</v>
      </c>
      <c r="D37" s="68" t="str">
        <f>round(arank!$D36*100,0)&amp;"%"</f>
        <v>0%</v>
      </c>
      <c r="E37" s="156"/>
      <c r="F37" s="133"/>
      <c r="G37" s="67" t="str">
        <f>IFERROR(__xludf.DUMMYFUNCTION("sparkline(
  F37 - choose(match(F37, {0, H37:M37}), 0, H37, I37, J37, K37, L37, M37),
  {
    ""charttype"", ""bar"";
    ""max"", choose(match(F37, {0, H37:M37}), H37, I37-H37, J37-I37, K37-J37, L37-K37, M37-L37, 0);
    ""nan"", ""ignore"";
    ""color1"&amp;""", iferror(choose(match(F37, {0, H37:M37}),
      ""#F1ECEB"",
      ""#EED3CE"",
      ""#EEC8C7"",
      ""#B3E0F4"",
      ""#77B7D0"",
      ""#468DA3"",
      ""#468DA3""
    ))
  }
)"),"")</f>
        <v/>
      </c>
      <c r="H37" s="86">
        <f>IFERROR(__xludf.DUMMYFUNCTION("""COMPUTED_VALUE"""),3200.0)</f>
        <v>3200</v>
      </c>
      <c r="I37" s="87">
        <f>IFERROR(__xludf.DUMMYFUNCTION("""COMPUTED_VALUE"""),3484.0)</f>
        <v>3484</v>
      </c>
      <c r="J37" s="88">
        <f>IFERROR(__xludf.DUMMYFUNCTION("""COMPUTED_VALUE"""),3648.0)</f>
        <v>3648</v>
      </c>
      <c r="K37" s="89">
        <f>IFERROR(__xludf.DUMMYFUNCTION("""COMPUTED_VALUE"""),3848.0)</f>
        <v>3848</v>
      </c>
      <c r="L37" s="90">
        <f>IFERROR(__xludf.DUMMYFUNCTION("""COMPUTED_VALUE"""),4048.0)</f>
        <v>4048</v>
      </c>
      <c r="M37" s="91">
        <f>IFERROR(__xludf.DUMMYFUNCTION("""COMPUTED_VALUE"""),4248.0)</f>
        <v>4248</v>
      </c>
      <c r="O37" s="141">
        <f>IFERROR(__xludf.DUMMYFUNCTION("""COMPUTED_VALUE"""),4212.0)</f>
        <v>4212</v>
      </c>
    </row>
    <row r="38" ht="25.5" customHeight="1">
      <c r="C38" s="102" t="str">
        <f>IFERROR(__xludf.DUMMYFUNCTION("""COMPUTED_VALUE"""),"VoxTargetSwitch Click Small")</f>
        <v>VoxTargetSwitch Click Small</v>
      </c>
      <c r="D38" s="68" t="str">
        <f>round(arank!$D37*100,0)&amp;"%"</f>
        <v>0%</v>
      </c>
      <c r="E38" s="156"/>
      <c r="F38" s="133"/>
      <c r="G38" s="67" t="str">
        <f>IFERROR(__xludf.DUMMYFUNCTION("sparkline(
  F38 - choose(match(F38, {0, H38:M38}), 0, H38, I38, J38, K38, L38, M38),
  {
    ""charttype"", ""bar"";
    ""max"", choose(match(F38, {0, H38:M38}), H38, I38-H38, J38-I38, K38-J38, L38-K38, M38-L38, 0);
    ""nan"", ""ignore"";
    ""color1"&amp;""", iferror(choose(match(F38, {0, H38:M38}),
      ""#F1ECEB"",
      ""#EED3CE"",
      ""#EEC8C7"",
      ""#B3E0F4"",
      ""#77B7D0"",
      ""#468DA3"",
      ""#468DA3""
    ))
  }
)"),"")</f>
        <v/>
      </c>
      <c r="H38" s="86">
        <f>IFERROR(__xludf.DUMMYFUNCTION("""COMPUTED_VALUE"""),90.0)</f>
        <v>90</v>
      </c>
      <c r="I38" s="87">
        <f>IFERROR(__xludf.DUMMYFUNCTION("""COMPUTED_VALUE"""),96.0)</f>
        <v>96</v>
      </c>
      <c r="J38" s="88">
        <f>IFERROR(__xludf.DUMMYFUNCTION("""COMPUTED_VALUE"""),101.0)</f>
        <v>101</v>
      </c>
      <c r="K38" s="89">
        <f>IFERROR(__xludf.DUMMYFUNCTION("""COMPUTED_VALUE"""),106.0)</f>
        <v>106</v>
      </c>
      <c r="L38" s="90">
        <f>IFERROR(__xludf.DUMMYFUNCTION("""COMPUTED_VALUE"""),111.0)</f>
        <v>111</v>
      </c>
      <c r="M38" s="91">
        <f>IFERROR(__xludf.DUMMYFUNCTION("""COMPUTED_VALUE"""),115.0)</f>
        <v>115</v>
      </c>
      <c r="N38" s="54"/>
      <c r="O38" s="141">
        <f>IFERROR(__xludf.DUMMYFUNCTION("""COMPUTED_VALUE"""),115.0)</f>
        <v>115</v>
      </c>
    </row>
  </sheetData>
  <mergeCells count="24">
    <mergeCell ref="B3:B5"/>
    <mergeCell ref="B6:B8"/>
    <mergeCell ref="B9:B11"/>
    <mergeCell ref="B12:B14"/>
    <mergeCell ref="A15:A20"/>
    <mergeCell ref="B15:B16"/>
    <mergeCell ref="B17:B18"/>
    <mergeCell ref="B19:B20"/>
    <mergeCell ref="A21:A29"/>
    <mergeCell ref="B21:B23"/>
    <mergeCell ref="B24:B25"/>
    <mergeCell ref="B26:B27"/>
    <mergeCell ref="B28:B29"/>
    <mergeCell ref="A30:A38"/>
    <mergeCell ref="B30:B32"/>
    <mergeCell ref="B33:B35"/>
    <mergeCell ref="B36:B38"/>
    <mergeCell ref="A1:D1"/>
    <mergeCell ref="E1:G1"/>
    <mergeCell ref="H1:I1"/>
    <mergeCell ref="J1:O1"/>
    <mergeCell ref="E2:F2"/>
    <mergeCell ref="N2:N37"/>
    <mergeCell ref="A3:A14"/>
  </mergeCells>
  <conditionalFormatting sqref="F3:F38">
    <cfRule type="expression" dxfId="0" priority="1">
      <formula>arrayformula(F3:F38&gt;=$M3:M38)</formula>
    </cfRule>
  </conditionalFormatting>
  <conditionalFormatting sqref="F3:F38">
    <cfRule type="expression" dxfId="1" priority="2">
      <formula>arrayformula(F3:F38&gt;=$L3:L38)</formula>
    </cfRule>
  </conditionalFormatting>
  <conditionalFormatting sqref="F3:F38">
    <cfRule type="expression" dxfId="2" priority="3">
      <formula>arrayformula(F3:F38&gt;=$K3:K38)</formula>
    </cfRule>
  </conditionalFormatting>
  <conditionalFormatting sqref="F3:F38">
    <cfRule type="expression" dxfId="3" priority="4">
      <formula>arrayformula(F3:F38&gt;=$J3:J38)</formula>
    </cfRule>
  </conditionalFormatting>
  <conditionalFormatting sqref="F3:F38">
    <cfRule type="expression" dxfId="4" priority="5">
      <formula>arrayformula(F3:F38&gt;=$I3:I38)</formula>
    </cfRule>
  </conditionalFormatting>
  <conditionalFormatting sqref="F3:F38">
    <cfRule type="expression" dxfId="5" priority="6">
      <formula>arrayformula(F3:F38&gt;=$H3:H38)</formula>
    </cfRule>
  </conditionalFormatting>
  <conditionalFormatting sqref="E3:E38">
    <cfRule type="expression" dxfId="6" priority="7">
      <formula>arrayformula(F3:F38&gt;=$M3:M38)</formula>
    </cfRule>
  </conditionalFormatting>
  <conditionalFormatting sqref="E3:E38">
    <cfRule type="expression" dxfId="7" priority="8">
      <formula>arrayformula(F3:F38&gt;=$L3:L38)</formula>
    </cfRule>
  </conditionalFormatting>
  <conditionalFormatting sqref="E3:E38">
    <cfRule type="expression" dxfId="8" priority="9">
      <formula>arrayformula(F3:F38&gt;=$K3:K38)</formula>
    </cfRule>
  </conditionalFormatting>
  <conditionalFormatting sqref="E3:E38">
    <cfRule type="expression" dxfId="9" priority="10">
      <formula>arrayformula(F3:F38&gt;=$J3:J38)</formula>
    </cfRule>
  </conditionalFormatting>
  <conditionalFormatting sqref="E3:E38">
    <cfRule type="expression" dxfId="10" priority="11">
      <formula>arrayformula(F3:F38&gt;=$I3:I38)</formula>
    </cfRule>
  </conditionalFormatting>
  <conditionalFormatting sqref="E3:E38">
    <cfRule type="expression" dxfId="11" priority="12">
      <formula>arrayformula(F3:F38&gt;=$H3:H38)</formula>
    </cfRule>
  </conditionalFormatting>
  <conditionalFormatting sqref="E1:G1">
    <cfRule type="containsText" dxfId="12" priority="13" operator="containsText" text="Silk">
      <formula>NOT(ISERROR(SEARCH(("Silk"),(E1))))</formula>
    </cfRule>
  </conditionalFormatting>
  <conditionalFormatting sqref="E1:G1">
    <cfRule type="containsText" dxfId="13" priority="14" operator="containsText" text="Satin">
      <formula>NOT(ISERROR(SEARCH(("Satin"),(E1))))</formula>
    </cfRule>
  </conditionalFormatting>
  <conditionalFormatting sqref="E1:G1">
    <cfRule type="containsText" dxfId="14" priority="15" operator="containsText" text="Chiffon">
      <formula>NOT(ISERROR(SEARCH(("Chiffon"),(E1))))</formula>
    </cfRule>
  </conditionalFormatting>
  <conditionalFormatting sqref="E1:G1">
    <cfRule type="containsText" dxfId="15" priority="16" operator="containsText" text="Velvet">
      <formula>NOT(ISERROR(SEARCH(("Velvet"),(E1))))</formula>
    </cfRule>
  </conditionalFormatting>
  <conditionalFormatting sqref="E1:G1">
    <cfRule type="containsText" dxfId="16" priority="17" operator="containsText" text="Wool">
      <formula>NOT(ISERROR(SEARCH(("Wool"),(E1))))</formula>
    </cfRule>
  </conditionalFormatting>
  <conditionalFormatting sqref="E1:G1">
    <cfRule type="containsText" dxfId="17" priority="18" operator="containsText" text="Linen">
      <formula>NOT(ISERROR(SEARCH(("Linen"),(E1))))</formula>
    </cfRule>
  </conditionalFormatting>
  <conditionalFormatting sqref="E1:G1">
    <cfRule type="containsText" dxfId="18" priority="19" operator="containsText" text="Unranked">
      <formula>NOT(ISERROR(SEARCH(("Unranked"),(E1))))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7.63"/>
  </cols>
  <sheetData>
    <row r="1" ht="33.75" customHeight="1">
      <c r="A1" s="83" t="str">
        <f>iferror(concatenate(choose(C1, 'Easier Scenarios'!H2, 'Easier Scenarios'!I2, 'Easier Scenarios'!J2, 'Easier Scenarios'!K2, 'Easier Scenarios'!L2, 'Easier Scenarios'!M2, 'Easier Scenarios'!N2,'Easier Scenarios'!O2),B1),"Unranked")</f>
        <v>Unranked</v>
      </c>
      <c r="B1" s="83" t="str">
        <f>if(min(B2:B37)=min(C2:C37)," Complete","")</f>
        <v> Complete</v>
      </c>
      <c r="C1" s="83">
        <f>MIN(C2:C37)</f>
        <v>0</v>
      </c>
      <c r="D1" s="93" t="s">
        <v>57</v>
      </c>
    </row>
    <row r="2" ht="25.5" customHeight="1">
      <c r="A2" s="96" t="str">
        <f>'Easier Scenarios'!C3</f>
        <v>WhisphereRawControl Larger + Slowed</v>
      </c>
      <c r="B2" s="99">
        <f>iferror(match('Easier Scenarios'!F3, 'Easier Scenarios'!H3:O3),0)</f>
        <v>0</v>
      </c>
      <c r="C2" s="99">
        <f>max(B2:B4)</f>
        <v>0</v>
      </c>
      <c r="D2" s="105">
        <f>iferror(if('Easier Scenarios'!F3&gt;='Easier Scenarios'!H3,('Easier Scenarios'!F3-'Easier Scenarios'!H3)/('Easier Scenarios'!O3-'Easier Scenarios'!H3),0),0)</f>
        <v>0</v>
      </c>
    </row>
    <row r="3" ht="25.5" customHeight="1">
      <c r="A3" s="96" t="str">
        <f>'Easier Scenarios'!C4</f>
        <v>Whisphere 80%</v>
      </c>
      <c r="B3" s="99">
        <f>iferror(match('Easier Scenarios'!F4, 'Easier Scenarios'!H4:O4),0)</f>
        <v>0</v>
      </c>
      <c r="D3" s="105">
        <f>iferror(if('Easier Scenarios'!F4&gt;='Easier Scenarios'!H4,('Easier Scenarios'!F4-'Easier Scenarios'!H4)/('Easier Scenarios'!O4-'Easier Scenarios'!H4),0),0)</f>
        <v>0</v>
      </c>
    </row>
    <row r="4" ht="25.5" customHeight="1">
      <c r="A4" s="96" t="str">
        <f>'Easier Scenarios'!C5</f>
        <v>Smoothbot Invincible Goated 75%</v>
      </c>
      <c r="B4" s="99">
        <f>iferror(match('Easier Scenarios'!F5, 'Easier Scenarios'!H5:O5),0)</f>
        <v>0</v>
      </c>
      <c r="D4" s="105">
        <f>iferror(if('Easier Scenarios'!F5&gt;='Easier Scenarios'!H5,('Easier Scenarios'!F5-'Easier Scenarios'!H5)/('Easier Scenarios'!O5-'Easier Scenarios'!H5),0),0)</f>
        <v>0</v>
      </c>
    </row>
    <row r="5" ht="25.5" customHeight="1">
      <c r="A5" s="114" t="str">
        <f>'Easier Scenarios'!C6</f>
        <v>Leaptrack Goated 60% Larger</v>
      </c>
      <c r="B5" s="99">
        <f>iferror(match('Easier Scenarios'!F6, 'Easier Scenarios'!H6:O6),0)</f>
        <v>0</v>
      </c>
      <c r="C5" s="99">
        <f>max(B5:B7)</f>
        <v>0</v>
      </c>
      <c r="D5" s="105">
        <f>iferror(if('Easier Scenarios'!F6&gt;='Easier Scenarios'!H6,('Easier Scenarios'!F6-'Easier Scenarios'!H6)/('Easier Scenarios'!O6-'Easier Scenarios'!H6),0),0)</f>
        <v>0</v>
      </c>
    </row>
    <row r="6" ht="25.5" customHeight="1">
      <c r="A6" s="114" t="str">
        <f>'Easier Scenarios'!C7</f>
        <v>Controlsphere rAim Easy 90%</v>
      </c>
      <c r="B6" s="99">
        <f>iferror(match('Easier Scenarios'!F7, 'Easier Scenarios'!H7:O7),0)</f>
        <v>0</v>
      </c>
      <c r="D6" s="105">
        <f>iferror(if('Easier Scenarios'!F7&gt;='Easier Scenarios'!H7,('Easier Scenarios'!F7-'Easier Scenarios'!H7)/('Easier Scenarios'!O7-'Easier Scenarios'!H7),0),0)</f>
        <v>0</v>
      </c>
    </row>
    <row r="7" ht="25.5" customHeight="1">
      <c r="A7" s="114" t="str">
        <f>'Easier Scenarios'!C8</f>
        <v>VT Controlsphere Intermediate S5 80%</v>
      </c>
      <c r="B7" s="99">
        <f>iferror(match('Easier Scenarios'!F8, 'Easier Scenarios'!H8:O8),0)</f>
        <v>0</v>
      </c>
      <c r="D7" s="105">
        <f>iferror(if('Easier Scenarios'!F8&gt;='Easier Scenarios'!H8,('Easier Scenarios'!F8-'Easier Scenarios'!H8)/('Easier Scenarios'!O8-'Easier Scenarios'!H8),0),0)</f>
        <v>0</v>
      </c>
    </row>
    <row r="8" ht="25.5" customHeight="1">
      <c r="A8" s="96" t="str">
        <f>'Easier Scenarios'!C9</f>
        <v>Air Angelic 4 Voltaic Easy 80% (Good Version)</v>
      </c>
      <c r="B8" s="99">
        <f>iferror(match('Easier Scenarios'!F9, 'Easier Scenarios'!H9:O9),0)</f>
        <v>0</v>
      </c>
      <c r="C8" s="99">
        <f>max(B8:B10)</f>
        <v>0</v>
      </c>
      <c r="D8" s="105">
        <f>iferror(if('Easier Scenarios'!F9&gt;='Easier Scenarios'!H9,('Easier Scenarios'!F9-'Easier Scenarios'!H9)/('Easier Scenarios'!O9-'Easier Scenarios'!H9),0),0)</f>
        <v>0</v>
      </c>
    </row>
    <row r="9" ht="25.5" customHeight="1">
      <c r="A9" s="96" t="str">
        <f>'Easier Scenarios'!C10</f>
        <v>Cloverrawcontrol Easy 80% Speed</v>
      </c>
      <c r="B9" s="99">
        <f>iferror(match('Easier Scenarios'!F10, 'Easier Scenarios'!H10:O10),0)</f>
        <v>0</v>
      </c>
      <c r="D9" s="105">
        <f>iferror(if('Easier Scenarios'!F10&gt;='Easier Scenarios'!H10,('Easier Scenarios'!F10-'Easier Scenarios'!H10)/('Easier Scenarios'!O10-'Easier Scenarios'!H10),0),0)</f>
        <v>0</v>
      </c>
    </row>
    <row r="10" ht="25.5" customHeight="1">
      <c r="A10" s="96" t="str">
        <f>'Easier Scenarios'!C11</f>
        <v>Controlsphere Far, Far Larger 90%</v>
      </c>
      <c r="B10" s="99">
        <f>iferror(match('Easier Scenarios'!F11, 'Easier Scenarios'!H11:O11),0)</f>
        <v>0</v>
      </c>
      <c r="D10" s="105">
        <f>iferror(if('Easier Scenarios'!F11&gt;='Easier Scenarios'!H11,('Easier Scenarios'!F11-'Easier Scenarios'!H11)/('Easier Scenarios'!O11-'Easier Scenarios'!H11),0),0)</f>
        <v>0</v>
      </c>
    </row>
    <row r="11" ht="25.5" customHeight="1">
      <c r="A11" s="96" t="str">
        <f>'Easier Scenarios'!C12</f>
        <v>PGTI Voltaic Easy 80%</v>
      </c>
      <c r="B11" s="99">
        <f>iferror(match('Easier Scenarios'!F12, 'Easier Scenarios'!H12:O12),0)</f>
        <v>0</v>
      </c>
      <c r="C11" s="99">
        <f>max(B11:B13)</f>
        <v>0</v>
      </c>
      <c r="D11" s="105">
        <f>iferror(if('Easier Scenarios'!F12&gt;='Easier Scenarios'!H12,('Easier Scenarios'!F12-'Easier Scenarios'!H12)/('Easier Scenarios'!O12-'Easier Scenarios'!H12),0),0)</f>
        <v>0</v>
      </c>
    </row>
    <row r="12" ht="25.5" customHeight="1">
      <c r="A12" s="96" t="str">
        <f>'Easier Scenarios'!C13</f>
        <v>Air CELESTIAL No UFO Easy Slowed</v>
      </c>
      <c r="B12" s="99">
        <f>iferror(match('Easier Scenarios'!F13, 'Easier Scenarios'!H13:O13),0)</f>
        <v>0</v>
      </c>
      <c r="D12" s="105">
        <f>iferror(if('Easier Scenarios'!F13&gt;='Easier Scenarios'!H13,('Easier Scenarios'!F13-'Easier Scenarios'!H13)/('Easier Scenarios'!O13-'Easier Scenarios'!H13),0),0)</f>
        <v>0</v>
      </c>
    </row>
    <row r="13" ht="25.5" customHeight="1">
      <c r="A13" s="96" t="str">
        <f>'Easier Scenarios'!C14</f>
        <v>Whisphere Small &amp; Slow 55%</v>
      </c>
      <c r="B13" s="99">
        <f>iferror(match('Easier Scenarios'!F14, 'Easier Scenarios'!H14:O14),0)</f>
        <v>0</v>
      </c>
      <c r="D13" s="105">
        <f>iferror(if('Easier Scenarios'!F14&gt;='Easier Scenarios'!H14,('Easier Scenarios'!F14-'Easier Scenarios'!H14)/('Easier Scenarios'!O14-'Easier Scenarios'!H14),0),0)</f>
        <v>0</v>
      </c>
    </row>
    <row r="14" ht="25.5" customHeight="1">
      <c r="A14" s="96" t="str">
        <f>'Easier Scenarios'!C15</f>
        <v>Air Voltaic Invincible 7 Easy 80%</v>
      </c>
      <c r="B14" s="99">
        <f>iferror(match('Easier Scenarios'!F15, 'Easier Scenarios'!H15:O15),0)</f>
        <v>0</v>
      </c>
      <c r="C14" s="99">
        <f>max(B14:B15)</f>
        <v>0</v>
      </c>
      <c r="D14" s="105">
        <f>iferror(if('Easier Scenarios'!F15&gt;='Easier Scenarios'!H15,('Easier Scenarios'!F15-'Easier Scenarios'!H15)/('Easier Scenarios'!O15-'Easier Scenarios'!H15),0),0)</f>
        <v>0</v>
      </c>
    </row>
    <row r="15" ht="25.5" customHeight="1">
      <c r="A15" s="96" t="str">
        <f>'Easier Scenarios'!C16</f>
        <v>Controlsphere OW Long Strafes 90%</v>
      </c>
      <c r="B15" s="99">
        <f>iferror(match('Easier Scenarios'!F16, 'Easier Scenarios'!H16:O16),0)</f>
        <v>0</v>
      </c>
      <c r="D15" s="105">
        <f>iferror(if('Easier Scenarios'!F16&gt;='Easier Scenarios'!H16,('Easier Scenarios'!F16-'Easier Scenarios'!H16)/('Easier Scenarios'!O16-'Easier Scenarios'!H16),0),0)</f>
        <v>0</v>
      </c>
    </row>
    <row r="16" ht="25.5" customHeight="1">
      <c r="A16" s="96" t="str">
        <f>'Easier Scenarios'!C17</f>
        <v>Flicker Plaza rAim Easy Less Blinks</v>
      </c>
      <c r="B16" s="99">
        <f>iferror(match('Easier Scenarios'!F17, 'Easier Scenarios'!H17:O17),0)</f>
        <v>0</v>
      </c>
      <c r="C16" s="99">
        <f>max(B16:B17)</f>
        <v>0</v>
      </c>
      <c r="D16" s="105">
        <f>iferror(if('Easier Scenarios'!F17&gt;='Easier Scenarios'!H17,('Easier Scenarios'!F17-'Easier Scenarios'!H17)/('Easier Scenarios'!O17-'Easier Scenarios'!H17),0),0)</f>
        <v>0</v>
      </c>
    </row>
    <row r="17" ht="25.5" customHeight="1">
      <c r="A17" s="96" t="str">
        <f>'Easier Scenarios'!C18</f>
        <v>Polarized Hell Easy 40% Slower</v>
      </c>
      <c r="B17" s="99">
        <f>iferror(match('Easier Scenarios'!F18, 'Easier Scenarios'!H18:O18),0)</f>
        <v>0</v>
      </c>
      <c r="D17" s="105">
        <f>iferror(if('Easier Scenarios'!F18&gt;='Easier Scenarios'!H18,('Easier Scenarios'!F18-'Easier Scenarios'!H18)/('Easier Scenarios'!O18-'Easier Scenarios'!H18),0),0)</f>
        <v>0</v>
      </c>
    </row>
    <row r="18" ht="25.5" customHeight="1">
      <c r="A18" s="96" t="str">
        <f>'Easier Scenarios'!C19</f>
        <v>Air Pure Intermediate Slower No UFO</v>
      </c>
      <c r="B18" s="99">
        <f>iferror(match('Easier Scenarios'!F19, 'Easier Scenarios'!H19:O19),0)</f>
        <v>0</v>
      </c>
      <c r="C18" s="99">
        <f>max(B18:B19)</f>
        <v>0</v>
      </c>
      <c r="D18" s="105">
        <f>iferror(if('Easier Scenarios'!F19&gt;='Easier Scenarios'!H19,('Easier Scenarios'!F19-'Easier Scenarios'!H19)/('Easier Scenarios'!O19-'Easier Scenarios'!H19),0),0)</f>
        <v>0</v>
      </c>
    </row>
    <row r="19" ht="25.5" customHeight="1">
      <c r="A19" s="96" t="str">
        <f>'Easier Scenarios'!C20</f>
        <v>Air Voltaic Easy Invincible 4 80%</v>
      </c>
      <c r="B19" s="99">
        <f>iferror(match('Easier Scenarios'!F20, 'Easier Scenarios'!H20:O20),0)</f>
        <v>0</v>
      </c>
      <c r="D19" s="105">
        <f>iferror(if('Easier Scenarios'!F20&gt;='Easier Scenarios'!H20,('Easier Scenarios'!F20-'Easier Scenarios'!H20)/('Easier Scenarios'!O20-'Easier Scenarios'!H20),0),0)</f>
        <v>0</v>
      </c>
    </row>
    <row r="20" ht="25.5" customHeight="1">
      <c r="A20" s="96" t="str">
        <f>'Easier Scenarios'!C21</f>
        <v>Pokeball Frenzy Auto TE Wide</v>
      </c>
      <c r="B20" s="99">
        <f>iferror(match('Easier Scenarios'!F21, 'Easier Scenarios'!H21:O21),0)</f>
        <v>0</v>
      </c>
      <c r="C20" s="99">
        <f>max(B20:B22)</f>
        <v>0</v>
      </c>
      <c r="D20" s="105">
        <f>iferror(if('Easier Scenarios'!F21&gt;='Easier Scenarios'!H21,('Easier Scenarios'!F21-'Easier Scenarios'!H21)/('Easier Scenarios'!O21-'Easier Scenarios'!H21),0),0)</f>
        <v>0</v>
      </c>
    </row>
    <row r="21" ht="25.5" customHeight="1">
      <c r="A21" s="96" t="str">
        <f>'Easier Scenarios'!C22</f>
        <v>1w3ts Reload Larger</v>
      </c>
      <c r="B21" s="99">
        <f>iferror(match('Easier Scenarios'!F22, 'Easier Scenarios'!H22:O22),0)</f>
        <v>0</v>
      </c>
      <c r="D21" s="105">
        <f>iferror(if('Easier Scenarios'!F22&gt;='Easier Scenarios'!H22,('Easier Scenarios'!F22-'Easier Scenarios'!H22)/('Easier Scenarios'!O22-'Easier Scenarios'!H22),0),0)</f>
        <v>0</v>
      </c>
    </row>
    <row r="22" ht="25.5" customHeight="1">
      <c r="A22" s="96" t="str">
        <f>'Easier Scenarios'!C23</f>
        <v>voxTargetSwitch 2 Large</v>
      </c>
      <c r="B22" s="99">
        <f>iferror(match('Easier Scenarios'!F23, 'Easier Scenarios'!H23:O23),0)</f>
        <v>0</v>
      </c>
      <c r="D22" s="105">
        <f>iferror(if('Easier Scenarios'!F23&gt;='Easier Scenarios'!H23,('Easier Scenarios'!F23-'Easier Scenarios'!H23)/('Easier Scenarios'!O23-'Easier Scenarios'!H23),0),0)</f>
        <v>0</v>
      </c>
    </row>
    <row r="23" ht="25.5" customHeight="1">
      <c r="A23" s="96" t="str">
        <f>'Easier Scenarios'!C24</f>
        <v>BeanTS Larger</v>
      </c>
      <c r="B23" s="99">
        <f>iferror(match('Easier Scenarios'!F24, 'Easier Scenarios'!H24:O24),0)</f>
        <v>0</v>
      </c>
      <c r="C23" s="99">
        <f>max(B23:B24)</f>
        <v>0</v>
      </c>
      <c r="D23" s="105">
        <f>iferror(if('Easier Scenarios'!F24&gt;='Easier Scenarios'!H24,('Easier Scenarios'!F24-'Easier Scenarios'!H24)/('Easier Scenarios'!O24-'Easier Scenarios'!H24),0),0)</f>
        <v>0</v>
      </c>
    </row>
    <row r="24" ht="25.5" customHeight="1">
      <c r="A24" s="96" t="str">
        <f>'Easier Scenarios'!C25</f>
        <v>FloatTS Angelic Easy Larger</v>
      </c>
      <c r="B24" s="99">
        <f>iferror(match('Easier Scenarios'!F25, 'Easier Scenarios'!H25:O25),0)</f>
        <v>0</v>
      </c>
      <c r="D24" s="105">
        <f>iferror(if('Easier Scenarios'!F25&gt;='Easier Scenarios'!H25,('Easier Scenarios'!F25-'Easier Scenarios'!H25)/('Easier Scenarios'!O25-'Easier Scenarios'!H25),0),0)</f>
        <v>0</v>
      </c>
    </row>
    <row r="25" ht="25.5" customHeight="1">
      <c r="A25" s="96" t="str">
        <f>'Easier Scenarios'!C26</f>
        <v>WaldoTS Novice</v>
      </c>
      <c r="B25" s="99">
        <f>iferror(match('Easier Scenarios'!F26, 'Easier Scenarios'!H26:O26),0)</f>
        <v>0</v>
      </c>
      <c r="C25" s="99">
        <f>max(B25:B26)</f>
        <v>0</v>
      </c>
      <c r="D25" s="105">
        <f>iferror(if('Easier Scenarios'!F26&gt;='Easier Scenarios'!H26,('Easier Scenarios'!F26-'Easier Scenarios'!H26)/('Easier Scenarios'!O26-'Easier Scenarios'!H26),0),0)</f>
        <v>0</v>
      </c>
    </row>
    <row r="26" ht="25.5" customHeight="1">
      <c r="A26" s="96" t="str">
        <f>'Easier Scenarios'!C27</f>
        <v>devTS Goated NR Static 5Bot</v>
      </c>
      <c r="B26" s="99">
        <f>iferror(match('Easier Scenarios'!F27, 'Easier Scenarios'!H27:O27),0)</f>
        <v>0</v>
      </c>
      <c r="D26" s="105">
        <f>iferror(if('Easier Scenarios'!F27&gt;='Easier Scenarios'!H27,('Easier Scenarios'!F27-'Easier Scenarios'!H27)/('Easier Scenarios'!O27-'Easier Scenarios'!H27),0),0)</f>
        <v>0</v>
      </c>
    </row>
    <row r="27" ht="25.5" customHeight="1">
      <c r="A27" s="96" t="str">
        <f>'Easier Scenarios'!C28</f>
        <v>domiSwitch Easy Slower</v>
      </c>
      <c r="B27" s="99">
        <f>iferror(match('Easier Scenarios'!F28, 'Easier Scenarios'!H28:O28),0)</f>
        <v>0</v>
      </c>
      <c r="C27" s="99">
        <f>max(B27:B28)</f>
        <v>0</v>
      </c>
      <c r="D27" s="105">
        <f>iferror(if('Easier Scenarios'!F28&gt;='Easier Scenarios'!H28,('Easier Scenarios'!F28-'Easier Scenarios'!H28)/('Easier Scenarios'!O28-'Easier Scenarios'!H28),0),0)</f>
        <v>0</v>
      </c>
    </row>
    <row r="28" ht="25.5" customHeight="1">
      <c r="A28" s="96" t="str">
        <f>'Easier Scenarios'!C29</f>
        <v>tamTargetSwitch Smooth Easy</v>
      </c>
      <c r="B28" s="99">
        <f>iferror(match('Easier Scenarios'!F29, 'Easier Scenarios'!H29:O29),0)</f>
        <v>0</v>
      </c>
      <c r="D28" s="105">
        <f>iferror(if('Easier Scenarios'!F29&gt;='Easier Scenarios'!H29,('Easier Scenarios'!F29-'Easier Scenarios'!H29)/('Easier Scenarios'!O29-'Easier Scenarios'!H29),0),0)</f>
        <v>0</v>
      </c>
    </row>
    <row r="29" ht="25.5" customHeight="1">
      <c r="A29" s="96" t="str">
        <f>'Easier Scenarios'!C30</f>
        <v>1wall5targets_pasu slow</v>
      </c>
      <c r="B29" s="99">
        <f>iferror(match('Easier Scenarios'!F30, 'Easier Scenarios'!H30:O30),0)</f>
        <v>0</v>
      </c>
      <c r="C29" s="99">
        <f>max(B29:B31)</f>
        <v>0</v>
      </c>
      <c r="D29" s="105">
        <f>iferror(if('Easier Scenarios'!F30&gt;='Easier Scenarios'!H30,('Easier Scenarios'!F30-'Easier Scenarios'!H30)/('Easier Scenarios'!O30-'Easier Scenarios'!H30),0),0)</f>
        <v>0</v>
      </c>
    </row>
    <row r="30" ht="25.5" customHeight="1">
      <c r="A30" s="96" t="str">
        <f>'Easier Scenarios'!C31</f>
        <v>B180 Voltaic Easy 92%</v>
      </c>
      <c r="B30" s="99">
        <f>iferror(match('Easier Scenarios'!F31, 'Easier Scenarios'!H31:O31),0)</f>
        <v>0</v>
      </c>
      <c r="D30" s="105">
        <f>iferror(if('Easier Scenarios'!F31&gt;='Easier Scenarios'!H31,('Easier Scenarios'!F31-'Easier Scenarios'!H31)/('Easier Scenarios'!O31-'Easier Scenarios'!H31),0),0)</f>
        <v>0</v>
      </c>
    </row>
    <row r="31" ht="25.5" customHeight="1">
      <c r="A31" s="96" t="str">
        <f>'Easier Scenarios'!C32</f>
        <v>Controlsphere Click Easy</v>
      </c>
      <c r="B31" s="99">
        <f>iferror(match('Easier Scenarios'!F32, 'Easier Scenarios'!H32:O32),0)</f>
        <v>0</v>
      </c>
      <c r="D31" s="105">
        <f>iferror(if('Easier Scenarios'!F32&gt;='Easier Scenarios'!H32,('Easier Scenarios'!F32-'Easier Scenarios'!H32)/('Easier Scenarios'!O32-'Easier Scenarios'!H32),0),0)</f>
        <v>0</v>
      </c>
    </row>
    <row r="32" ht="28.5" customHeight="1">
      <c r="A32" s="96" t="str">
        <f>'Easier Scenarios'!C33</f>
        <v>Popcorn MV Novice</v>
      </c>
      <c r="B32" s="99">
        <f>iferror(match('Easier Scenarios'!F33, 'Easier Scenarios'!H33:O33),0)</f>
        <v>0</v>
      </c>
      <c r="C32" s="99">
        <f>max(B32:B34)</f>
        <v>0</v>
      </c>
      <c r="D32" s="105">
        <f>iferror(if('Easier Scenarios'!F33&gt;='Easier Scenarios'!H33,('Easier Scenarios'!F33-'Easier Scenarios'!H33)/('Easier Scenarios'!O33-'Easier Scenarios'!H33),0),0)</f>
        <v>0</v>
      </c>
    </row>
    <row r="33" ht="28.5" customHeight="1">
      <c r="A33" s="96" t="str">
        <f>'Easier Scenarios'!C34</f>
        <v>Pasu Angelic 20% Larger 80% Speed</v>
      </c>
      <c r="B33" s="99">
        <f>iferror(match('Easier Scenarios'!F34, 'Easier Scenarios'!H34:O34),0)</f>
        <v>0</v>
      </c>
      <c r="D33" s="105">
        <f>iferror(if('Easier Scenarios'!F34&gt;='Easier Scenarios'!H34,('Easier Scenarios'!F34-'Easier Scenarios'!H34)/('Easier Scenarios'!O34-'Easier Scenarios'!H34),0),0)</f>
        <v>0</v>
      </c>
    </row>
    <row r="34" ht="28.5" customHeight="1">
      <c r="A34" s="96" t="str">
        <f>'Easier Scenarios'!C35</f>
        <v>1w2ts Pasu Perfected Easy</v>
      </c>
      <c r="B34" s="99">
        <f>iferror(match('Easier Scenarios'!F35, 'Easier Scenarios'!H35:O35),0)</f>
        <v>0</v>
      </c>
      <c r="D34" s="105">
        <f>iferror(if('Easier Scenarios'!F35&gt;='Easier Scenarios'!H35,('Easier Scenarios'!F35-'Easier Scenarios'!H35)/('Easier Scenarios'!O35-'Easier Scenarios'!H35),0),0)</f>
        <v>0</v>
      </c>
    </row>
    <row r="35" ht="28.5" customHeight="1">
      <c r="A35" s="96" t="str">
        <f>'Easier Scenarios'!C36</f>
        <v>1w3ts Pasu Perfected Micro Goated Larger 80%</v>
      </c>
      <c r="B35" s="99">
        <f>iferror(match('Easier Scenarios'!F36, 'Easier Scenarios'!H36:O36),0)</f>
        <v>0</v>
      </c>
      <c r="C35" s="99">
        <f>max(B35:B37)</f>
        <v>0</v>
      </c>
      <c r="D35" s="105">
        <f>iferror(if('Easier Scenarios'!F36&gt;='Easier Scenarios'!H36,('Easier Scenarios'!F36-'Easier Scenarios'!H36)/('Easier Scenarios'!O36-'Easier Scenarios'!H36),0),0)</f>
        <v>0</v>
      </c>
    </row>
    <row r="36" ht="28.5" customHeight="1">
      <c r="A36" s="96" t="str">
        <f>'Easier Scenarios'!C37</f>
        <v>Floating Heads Timing 400% Larger</v>
      </c>
      <c r="B36" s="99">
        <f>iferror(match('Easier Scenarios'!F37, 'Easier Scenarios'!H37:O37),0)</f>
        <v>0</v>
      </c>
      <c r="D36" s="105">
        <f>iferror(if('Easier Scenarios'!F37&gt;='Easier Scenarios'!H37,('Easier Scenarios'!F37-'Easier Scenarios'!H37)/('Easier Scenarios'!O37-'Easier Scenarios'!H37),0),0)</f>
        <v>0</v>
      </c>
    </row>
    <row r="37" ht="28.5" customHeight="1">
      <c r="A37" s="96" t="str">
        <f>'Easier Scenarios'!C38</f>
        <v>voxTargetSwitch Click </v>
      </c>
      <c r="B37" s="99">
        <f>iferror(match('Easier Scenarios'!F38, 'Easier Scenarios'!H38:O38),0)</f>
        <v>0</v>
      </c>
      <c r="D37" s="105">
        <f>iferror(if('Easier Scenarios'!F38&gt;='Easier Scenarios'!H38,('Easier Scenarios'!F38-'Easier Scenarios'!H38)/('Easier Scenarios'!O38-'Easier Scenarios'!H38),0),0)</f>
        <v>0</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7.63"/>
  </cols>
  <sheetData>
    <row r="1" ht="33.75" customHeight="1">
      <c r="A1" s="83" t="str">
        <f>iferror(concatenate(choose(C1, 'Medium Scenarios'!H2, 'Medium Scenarios'!I2, 'Medium Scenarios'!J2, 'Medium Scenarios'!K2, 'Medium Scenarios'!L2, 'Medium Scenarios'!M2,'Medium Scenarios'!N2,'Medium Scenarios'!O2),B1),"Unranked")</f>
        <v>Unranked</v>
      </c>
      <c r="B1" s="83" t="str">
        <f>if(min(B2:B37)=min(C2:C37)," Complete","")</f>
        <v> Complete</v>
      </c>
      <c r="C1" s="83">
        <f>MIN(C2:C37)</f>
        <v>0</v>
      </c>
      <c r="D1" s="93" t="s">
        <v>57</v>
      </c>
    </row>
    <row r="2" ht="25.5" customHeight="1">
      <c r="A2" s="96" t="str">
        <f>'Medium Scenarios'!C3</f>
        <v>WhisphereRawControl</v>
      </c>
      <c r="B2" s="99">
        <f>iferror(match('Medium Scenarios'!F3, 'Medium Scenarios'!H3:O3),0)</f>
        <v>0</v>
      </c>
      <c r="C2" s="99">
        <f>max(B2:B4)</f>
        <v>0</v>
      </c>
      <c r="D2" s="105">
        <f>iferror(if('Medium Scenarios'!F3&gt;='Medium Scenarios'!H3,('Medium Scenarios'!F3-'Medium Scenarios'!H3)/('Medium Scenarios'!O3-'Medium Scenarios'!H3),0),0)</f>
        <v>0</v>
      </c>
    </row>
    <row r="3" ht="25.5" customHeight="1">
      <c r="A3" s="96" t="str">
        <f>'Medium Scenarios'!C4</f>
        <v>Whisphere  </v>
      </c>
      <c r="B3" s="99">
        <f>iferror(match('Medium Scenarios'!F4, 'Medium Scenarios'!H4:O4),0)</f>
        <v>0</v>
      </c>
      <c r="D3" s="105">
        <f>iferror(if('Medium Scenarios'!F4&gt;='Medium Scenarios'!H4,('Medium Scenarios'!F4-'Medium Scenarios'!H4)/('Medium Scenarios'!O4-'Medium Scenarios'!H4),0),0)</f>
        <v>0</v>
      </c>
    </row>
    <row r="4" ht="25.5" customHeight="1">
      <c r="A4" s="96" t="str">
        <f>'Medium Scenarios'!C5</f>
        <v>Smoothbot Invincible Goated</v>
      </c>
      <c r="B4" s="99">
        <f>iferror(match('Medium Scenarios'!F5, 'Medium Scenarios'!H5:O5),0)</f>
        <v>0</v>
      </c>
      <c r="D4" s="105">
        <f>iferror(if('Medium Scenarios'!F5&gt;='Medium Scenarios'!H5,('Medium Scenarios'!F5-'Medium Scenarios'!H5)/('Medium Scenarios'!O5-'Medium Scenarios'!H5),0),0)</f>
        <v>0</v>
      </c>
    </row>
    <row r="5" ht="25.5" customHeight="1">
      <c r="A5" s="96" t="str">
        <f>'Medium Scenarios'!C6</f>
        <v>Leaptrack Goated 75% Slightly Larger</v>
      </c>
      <c r="B5" s="99">
        <f>iferror(match('Medium Scenarios'!F6, 'Medium Scenarios'!H6:O6),0)</f>
        <v>0</v>
      </c>
      <c r="C5" s="99">
        <f>max(B5:B7)</f>
        <v>0</v>
      </c>
      <c r="D5" s="105">
        <f>iferror(if('Medium Scenarios'!F6&gt;='Medium Scenarios'!H6,('Medium Scenarios'!F6-'Medium Scenarios'!H6)/('Medium Scenarios'!O6-'Medium Scenarios'!H6),0),0)</f>
        <v>0</v>
      </c>
    </row>
    <row r="6" ht="25.5" customHeight="1">
      <c r="A6" s="96" t="str">
        <f>'Medium Scenarios'!C7</f>
        <v>Controlsphere rAim Easy</v>
      </c>
      <c r="B6" s="99">
        <f>iferror(match('Medium Scenarios'!F7, 'Medium Scenarios'!H7:O7),0)</f>
        <v>0</v>
      </c>
      <c r="D6" s="105">
        <f>iferror(if('Medium Scenarios'!F7&gt;='Medium Scenarios'!H7,('Medium Scenarios'!F7-'Medium Scenarios'!H7)/('Medium Scenarios'!O7-'Medium Scenarios'!H7),0),0)</f>
        <v>0</v>
      </c>
    </row>
    <row r="7" ht="25.5" customHeight="1">
      <c r="A7" s="96" t="str">
        <f>'Medium Scenarios'!C8</f>
        <v>VT Controlsphere Novice S5 Hard</v>
      </c>
      <c r="B7" s="99">
        <f>iferror(match('Medium Scenarios'!F8, 'Medium Scenarios'!H8:O8),0)</f>
        <v>0</v>
      </c>
      <c r="D7" s="105">
        <f>iferror(if('Medium Scenarios'!F8&gt;='Medium Scenarios'!H8,('Medium Scenarios'!F8-'Medium Scenarios'!H8)/('Medium Scenarios'!O8-'Medium Scenarios'!H8),0),0)</f>
        <v>0</v>
      </c>
    </row>
    <row r="8" ht="25.5" customHeight="1">
      <c r="A8" s="96" t="str">
        <f>'Medium Scenarios'!C9</f>
        <v>Air Angelic 4 Voltaic Easy</v>
      </c>
      <c r="B8" s="99">
        <f>iferror(match('Medium Scenarios'!F9, 'Medium Scenarios'!H9:O9),0)</f>
        <v>0</v>
      </c>
      <c r="C8" s="99">
        <f>max(B8:B10)</f>
        <v>0</v>
      </c>
      <c r="D8" s="105">
        <f>iferror(if('Medium Scenarios'!F9&gt;='Medium Scenarios'!H9,('Medium Scenarios'!F9-'Medium Scenarios'!H9)/('Medium Scenarios'!O9-'Medium Scenarios'!H9),0),0)</f>
        <v>0</v>
      </c>
    </row>
    <row r="9" ht="25.5" customHeight="1">
      <c r="A9" s="96" t="str">
        <f>'Medium Scenarios'!C10</f>
        <v>Cloverrawcontrol Easy</v>
      </c>
      <c r="B9" s="99">
        <f>iferror(match('Medium Scenarios'!F10, 'Medium Scenarios'!H10:O10),0)</f>
        <v>0</v>
      </c>
      <c r="D9" s="105">
        <f>iferror(if('Medium Scenarios'!F10&gt;='Medium Scenarios'!H10,('Medium Scenarios'!F10-'Medium Scenarios'!H10)/('Medium Scenarios'!O10-'Medium Scenarios'!H10),0),0)</f>
        <v>0</v>
      </c>
    </row>
    <row r="10" ht="25.5" customHeight="1">
      <c r="A10" s="96" t="str">
        <f>'Medium Scenarios'!C11</f>
        <v>Controlsphere Far Larger</v>
      </c>
      <c r="B10" s="99">
        <f>iferror(match('Medium Scenarios'!F11, 'Medium Scenarios'!H11:O11),0)</f>
        <v>0</v>
      </c>
      <c r="D10" s="105">
        <f>iferror(if('Medium Scenarios'!F11&gt;='Medium Scenarios'!H11,('Medium Scenarios'!F11-'Medium Scenarios'!H11)/('Medium Scenarios'!O11-'Medium Scenarios'!H11),0),0)</f>
        <v>0</v>
      </c>
    </row>
    <row r="11" ht="25.5" customHeight="1">
      <c r="A11" s="96" t="str">
        <f>'Medium Scenarios'!C12</f>
        <v>PGTI Voltaic Easy</v>
      </c>
      <c r="B11" s="99">
        <f>iferror(match('Medium Scenarios'!F12, 'Medium Scenarios'!H12:O12),0)</f>
        <v>0</v>
      </c>
      <c r="C11" s="99">
        <f>max(B11:B13)</f>
        <v>0</v>
      </c>
      <c r="D11" s="105">
        <f>iferror(if('Medium Scenarios'!F12&gt;='Medium Scenarios'!H12,('Medium Scenarios'!F12-'Medium Scenarios'!H12)/('Medium Scenarios'!O12-'Medium Scenarios'!H12),0),0)</f>
        <v>0</v>
      </c>
    </row>
    <row r="12" ht="25.5" customHeight="1">
      <c r="A12" s="96" t="str">
        <f>'Medium Scenarios'!C13</f>
        <v>Air CELESTIAL No UFO Easy</v>
      </c>
      <c r="B12" s="99">
        <f>iferror(match('Medium Scenarios'!F13, 'Medium Scenarios'!H13:O13),0)</f>
        <v>0</v>
      </c>
      <c r="D12" s="105">
        <f>iferror(if('Medium Scenarios'!F13&gt;='Medium Scenarios'!H13,('Medium Scenarios'!F13-'Medium Scenarios'!H13)/('Medium Scenarios'!O13-'Medium Scenarios'!H13),0),0)</f>
        <v>0</v>
      </c>
    </row>
    <row r="13" ht="25.5" customHeight="1">
      <c r="A13" s="96" t="str">
        <f>'Medium Scenarios'!C14</f>
        <v>Whisphere Small &amp; Slow 75%</v>
      </c>
      <c r="B13" s="99">
        <f>iferror(match('Medium Scenarios'!F14, 'Medium Scenarios'!H14:O14),0)</f>
        <v>0</v>
      </c>
      <c r="D13" s="105">
        <f>iferror(if('Medium Scenarios'!F14&gt;='Medium Scenarios'!H14,('Medium Scenarios'!F14-'Medium Scenarios'!H14)/('Medium Scenarios'!O14-'Medium Scenarios'!H14),0),0)</f>
        <v>0</v>
      </c>
    </row>
    <row r="14" ht="25.5" customHeight="1">
      <c r="A14" s="96" t="str">
        <f>'Medium Scenarios'!C15</f>
        <v>Ground Plaza Sparky v3</v>
      </c>
      <c r="B14" s="99">
        <f>iferror(match('Medium Scenarios'!F15, 'Medium Scenarios'!H15:O15),0)</f>
        <v>0</v>
      </c>
      <c r="C14" s="99">
        <f>max(B14:B15)</f>
        <v>0</v>
      </c>
      <c r="D14" s="105">
        <f>iferror(if('Medium Scenarios'!F15&gt;='Medium Scenarios'!H15,('Medium Scenarios'!F15-'Medium Scenarios'!H15)/('Medium Scenarios'!O15-'Medium Scenarios'!H15),0),0)</f>
        <v>0</v>
      </c>
    </row>
    <row r="15" ht="25.5" customHeight="1">
      <c r="A15" s="96" t="str">
        <f>'Medium Scenarios'!C16</f>
        <v>Controlsphere OW</v>
      </c>
      <c r="B15" s="99">
        <f>iferror(match('Medium Scenarios'!F16, 'Medium Scenarios'!H16:O16),0)</f>
        <v>0</v>
      </c>
      <c r="D15" s="105">
        <f>iferror(if('Medium Scenarios'!F16&gt;='Medium Scenarios'!H16,('Medium Scenarios'!F16-'Medium Scenarios'!H16)/('Medium Scenarios'!O16-'Medium Scenarios'!H16),0),0)</f>
        <v>0</v>
      </c>
    </row>
    <row r="16" ht="25.5" customHeight="1">
      <c r="A16" s="96" t="str">
        <f>'Medium Scenarios'!C17</f>
        <v>Flicker Plaza rAim Easy</v>
      </c>
      <c r="B16" s="99">
        <f>iferror(match('Medium Scenarios'!F17, 'Medium Scenarios'!H17:O17),0)</f>
        <v>0</v>
      </c>
      <c r="C16" s="99">
        <f>max(B16:B17)</f>
        <v>0</v>
      </c>
      <c r="D16" s="105">
        <f>iferror(if('Medium Scenarios'!F17&gt;='Medium Scenarios'!H17,('Medium Scenarios'!F17-'Medium Scenarios'!H17)/('Medium Scenarios'!O17-'Medium Scenarios'!H17),0),0)</f>
        <v>0</v>
      </c>
    </row>
    <row r="17" ht="25.5" customHeight="1">
      <c r="A17" s="96" t="str">
        <f>'Medium Scenarios'!C18</f>
        <v>Polarized Hell Easy 20% Slower</v>
      </c>
      <c r="B17" s="99">
        <f>iferror(match('Medium Scenarios'!F18, 'Medium Scenarios'!H18:O18),0)</f>
        <v>0</v>
      </c>
      <c r="D17" s="105">
        <f>iferror(if('Medium Scenarios'!F18&gt;='Medium Scenarios'!H18,('Medium Scenarios'!F18-'Medium Scenarios'!H18)/('Medium Scenarios'!O18-'Medium Scenarios'!H18),0),0)</f>
        <v>0</v>
      </c>
    </row>
    <row r="18" ht="25.5" customHeight="1">
      <c r="A18" s="96" t="str">
        <f>'Medium Scenarios'!C19</f>
        <v>Air Pure Intermediate</v>
      </c>
      <c r="B18" s="99">
        <f>iferror(match('Medium Scenarios'!F19, 'Medium Scenarios'!H19:O19),0)</f>
        <v>0</v>
      </c>
      <c r="C18" s="99">
        <f>max(B18:B19)</f>
        <v>0</v>
      </c>
      <c r="D18" s="105">
        <f>iferror(if('Medium Scenarios'!F19&gt;='Medium Scenarios'!H19,('Medium Scenarios'!F19-'Medium Scenarios'!H19)/('Medium Scenarios'!O19-'Medium Scenarios'!H19),0),0)</f>
        <v>0</v>
      </c>
    </row>
    <row r="19" ht="25.5" customHeight="1">
      <c r="A19" s="96" t="str">
        <f>'Medium Scenarios'!C20</f>
        <v>Air Voltaic Easy Invincible 4</v>
      </c>
      <c r="B19" s="99">
        <f>iferror(match('Medium Scenarios'!F20, 'Medium Scenarios'!H20:O20),0)</f>
        <v>0</v>
      </c>
      <c r="D19" s="105">
        <f>iferror(if('Medium Scenarios'!F20&gt;='Medium Scenarios'!H20,('Medium Scenarios'!F20-'Medium Scenarios'!H20)/('Medium Scenarios'!O20-'Medium Scenarios'!H20),0),0)</f>
        <v>0</v>
      </c>
    </row>
    <row r="20" ht="25.5" customHeight="1">
      <c r="A20" s="96" t="str">
        <f>'Medium Scenarios'!C21</f>
        <v>Pokeball Frenzy Auto TE Wide</v>
      </c>
      <c r="B20" s="99">
        <f>iferror(match('Medium Scenarios'!F21, 'Medium Scenarios'!H21:O21),0)</f>
        <v>0</v>
      </c>
      <c r="C20" s="99">
        <f>max(B20:B22)</f>
        <v>0</v>
      </c>
      <c r="D20" s="105">
        <f>iferror(if('Medium Scenarios'!F21&gt;='Medium Scenarios'!H21,('Medium Scenarios'!F21-'Medium Scenarios'!H21)/('Medium Scenarios'!O21-'Medium Scenarios'!H21),0),0)</f>
        <v>0</v>
      </c>
    </row>
    <row r="21" ht="25.5" customHeight="1">
      <c r="A21" s="96" t="str">
        <f>'Medium Scenarios'!C22</f>
        <v>1w3ts Reload</v>
      </c>
      <c r="B21" s="99">
        <f>iferror(match('Medium Scenarios'!F22, 'Medium Scenarios'!H22:O22),0)</f>
        <v>0</v>
      </c>
      <c r="D21" s="105">
        <f>iferror(if('Medium Scenarios'!F22&gt;='Medium Scenarios'!H22,('Medium Scenarios'!F22-'Medium Scenarios'!H22)/('Medium Scenarios'!O22-'Medium Scenarios'!H22),0),0)</f>
        <v>0</v>
      </c>
    </row>
    <row r="22" ht="25.5" customHeight="1">
      <c r="A22" s="96" t="str">
        <f>'Medium Scenarios'!C23</f>
        <v>voxTargetSwitch 2</v>
      </c>
      <c r="B22" s="99">
        <f>iferror(match('Medium Scenarios'!F23, 'Medium Scenarios'!H23:O23),0)</f>
        <v>0</v>
      </c>
      <c r="D22" s="105">
        <f>iferror(if('Medium Scenarios'!F23&gt;='Medium Scenarios'!H23,('Medium Scenarios'!F23-'Medium Scenarios'!H23)/('Medium Scenarios'!O23-'Medium Scenarios'!H23),0),0)</f>
        <v>0</v>
      </c>
    </row>
    <row r="23" ht="25.5" customHeight="1">
      <c r="A23" s="96" t="str">
        <f>'Medium Scenarios'!C24</f>
        <v>BeanTS</v>
      </c>
      <c r="B23" s="99">
        <f>iferror(match('Medium Scenarios'!F24, 'Medium Scenarios'!H24:O24),0)</f>
        <v>0</v>
      </c>
      <c r="C23" s="99">
        <f>max(B23:B24)</f>
        <v>0</v>
      </c>
      <c r="D23" s="105">
        <f>iferror(if('Medium Scenarios'!F24&gt;='Medium Scenarios'!H24,('Medium Scenarios'!F24-'Medium Scenarios'!H24)/('Medium Scenarios'!O24-'Medium Scenarios'!H24),0),0)</f>
        <v>0</v>
      </c>
    </row>
    <row r="24" ht="25.5" customHeight="1">
      <c r="A24" s="96" t="str">
        <f>'Medium Scenarios'!C25</f>
        <v>FloatTS Angelic Easy</v>
      </c>
      <c r="B24" s="99">
        <f>iferror(match('Medium Scenarios'!F25, 'Medium Scenarios'!H25:O25),0)</f>
        <v>0</v>
      </c>
      <c r="D24" s="105">
        <f>iferror(if('Medium Scenarios'!F25&gt;='Medium Scenarios'!H25,('Medium Scenarios'!F25-'Medium Scenarios'!H25)/('Medium Scenarios'!O25-'Medium Scenarios'!H25),0),0)</f>
        <v>0</v>
      </c>
    </row>
    <row r="25" ht="25.5" customHeight="1">
      <c r="A25" s="96" t="str">
        <f>'Medium Scenarios'!C26</f>
        <v>WaldoTS Intermediate</v>
      </c>
      <c r="B25" s="99">
        <f>iferror(match('Medium Scenarios'!F26, 'Medium Scenarios'!H26:O26),0)</f>
        <v>0</v>
      </c>
      <c r="C25" s="99">
        <f>max(B25:B26)</f>
        <v>0</v>
      </c>
      <c r="D25" s="105">
        <f>iferror(if('Medium Scenarios'!F26&gt;='Medium Scenarios'!H26,('Medium Scenarios'!F26-'Medium Scenarios'!H26)/('Medium Scenarios'!O26-'Medium Scenarios'!H26),0),0)</f>
        <v>0</v>
      </c>
    </row>
    <row r="26" ht="25.5" customHeight="1">
      <c r="A26" s="96" t="str">
        <f>'Medium Scenarios'!C27</f>
        <v>devTS Goated NR Static 5Bot</v>
      </c>
      <c r="B26" s="99">
        <f>iferror(match('Medium Scenarios'!F27, 'Medium Scenarios'!H27:O27),0)</f>
        <v>0</v>
      </c>
      <c r="D26" s="105">
        <f>iferror(if('Medium Scenarios'!F27&gt;='Medium Scenarios'!H27,('Medium Scenarios'!F27-'Medium Scenarios'!H27)/('Medium Scenarios'!O27-'Medium Scenarios'!H27),0),0)</f>
        <v>0</v>
      </c>
    </row>
    <row r="27" ht="25.5" customHeight="1">
      <c r="A27" s="96" t="str">
        <f>'Medium Scenarios'!C28</f>
        <v>domiSwitch Easy</v>
      </c>
      <c r="B27" s="99">
        <f>iferror(match('Medium Scenarios'!F28, 'Medium Scenarios'!H28:O28),0)</f>
        <v>0</v>
      </c>
      <c r="C27" s="99">
        <f>max(B27:B28)</f>
        <v>0</v>
      </c>
      <c r="D27" s="105">
        <f>iferror(if('Medium Scenarios'!F28&gt;='Medium Scenarios'!H28,('Medium Scenarios'!F28-'Medium Scenarios'!H28)/('Medium Scenarios'!O28-'Medium Scenarios'!H28),0),0)</f>
        <v>0</v>
      </c>
    </row>
    <row r="28" ht="25.5" customHeight="1">
      <c r="A28" s="96" t="str">
        <f>'Medium Scenarios'!C29</f>
        <v>tamTargetSwitch Smooth Easy</v>
      </c>
      <c r="B28" s="99">
        <f>iferror(match('Medium Scenarios'!F29, 'Medium Scenarios'!H29:O29),0)</f>
        <v>0</v>
      </c>
      <c r="D28" s="105">
        <f>iferror(if('Medium Scenarios'!F29&gt;='Medium Scenarios'!H29,('Medium Scenarios'!F29-'Medium Scenarios'!H29)/('Medium Scenarios'!O29-'Medium Scenarios'!H29),0),0)</f>
        <v>0</v>
      </c>
    </row>
    <row r="29" ht="25.5" customHeight="1">
      <c r="A29" s="96" t="str">
        <f>'Medium Scenarios'!C30</f>
        <v>1wall5targets_pasu Reload</v>
      </c>
      <c r="B29" s="99">
        <f>iferror(match('Medium Scenarios'!F30, 'Medium Scenarios'!H30:O30),0)</f>
        <v>0</v>
      </c>
      <c r="C29" s="99">
        <f>max(B29:B31)</f>
        <v>0</v>
      </c>
      <c r="D29" s="105">
        <f>iferror(if('Medium Scenarios'!F30&gt;='Medium Scenarios'!H30,('Medium Scenarios'!F30-'Medium Scenarios'!H30)/('Medium Scenarios'!O30-'Medium Scenarios'!H30),0),0)</f>
        <v>0</v>
      </c>
    </row>
    <row r="30" ht="25.5" customHeight="1">
      <c r="A30" s="96" t="str">
        <f>'Medium Scenarios'!C31</f>
        <v>VT Bounceshot Intermediate</v>
      </c>
      <c r="B30" s="99">
        <f>iferror(match('Medium Scenarios'!F31, 'Medium Scenarios'!H31:O31),0)</f>
        <v>0</v>
      </c>
      <c r="D30" s="105">
        <f>iferror(if('Medium Scenarios'!F31&gt;='Medium Scenarios'!H31,('Medium Scenarios'!F31-'Medium Scenarios'!H31)/('Medium Scenarios'!O31-'Medium Scenarios'!H31),0),0)</f>
        <v>0</v>
      </c>
    </row>
    <row r="31" ht="28.5" customHeight="1">
      <c r="A31" s="96" t="str">
        <f>'Medium Scenarios'!C32</f>
        <v>Controlsphere Click</v>
      </c>
      <c r="B31" s="99">
        <f>iferror(match('Medium Scenarios'!F32, 'Medium Scenarios'!H32:O32),0)</f>
        <v>0</v>
      </c>
      <c r="D31" s="105">
        <f>iferror(if('Medium Scenarios'!F32&gt;='Medium Scenarios'!H32,('Medium Scenarios'!F32-'Medium Scenarios'!H32)/('Medium Scenarios'!O32-'Medium Scenarios'!H32),0),0)</f>
        <v>0</v>
      </c>
    </row>
    <row r="32" ht="28.5" customHeight="1">
      <c r="A32" s="96" t="str">
        <f>'Medium Scenarios'!C33</f>
        <v>Popcorn MV Intermediate</v>
      </c>
      <c r="B32" s="99">
        <f>iferror(match('Medium Scenarios'!F33, 'Medium Scenarios'!H33:O33),0)</f>
        <v>0</v>
      </c>
      <c r="C32" s="99">
        <f>max(B32:B34)</f>
        <v>0</v>
      </c>
      <c r="D32" s="105">
        <f>iferror(if('Medium Scenarios'!F33&gt;='Medium Scenarios'!H33,('Medium Scenarios'!F33-'Medium Scenarios'!H33)/('Medium Scenarios'!O33-'Medium Scenarios'!H33),0),0)</f>
        <v>0</v>
      </c>
    </row>
    <row r="33" ht="28.5" customHeight="1">
      <c r="A33" s="96" t="str">
        <f>'Medium Scenarios'!C34</f>
        <v>Pasu Angelic 20% Larger</v>
      </c>
      <c r="B33" s="99">
        <f>iferror(match('Medium Scenarios'!F34, 'Medium Scenarios'!H34:O34),0)</f>
        <v>0</v>
      </c>
      <c r="D33" s="105">
        <f>iferror(if('Medium Scenarios'!F34&gt;='Medium Scenarios'!H34,('Medium Scenarios'!F34-'Medium Scenarios'!H34)/('Medium Scenarios'!O34-'Medium Scenarios'!H34),0),0)</f>
        <v>0</v>
      </c>
    </row>
    <row r="34" ht="28.5" customHeight="1">
      <c r="A34" s="96" t="str">
        <f>'Medium Scenarios'!C35</f>
        <v>1w2ts Pasu Perfected</v>
      </c>
      <c r="B34" s="99">
        <f>iferror(match('Medium Scenarios'!F35, 'Medium Scenarios'!H35:O35),0)</f>
        <v>0</v>
      </c>
      <c r="D34" s="105">
        <f>iferror(if('Medium Scenarios'!F35&gt;='Medium Scenarios'!H35,('Medium Scenarios'!F35-'Medium Scenarios'!H35)/('Medium Scenarios'!O35-'Medium Scenarios'!H35),0),0)</f>
        <v>0</v>
      </c>
    </row>
    <row r="35" ht="28.5" customHeight="1">
      <c r="A35" s="96" t="str">
        <f>'Medium Scenarios'!C36</f>
        <v>1w3ts Pasu Perfected Micro Goated Larger</v>
      </c>
      <c r="B35" s="99">
        <f>iferror(match('Medium Scenarios'!F36, 'Medium Scenarios'!H36:O36),0)</f>
        <v>0</v>
      </c>
      <c r="C35" s="99">
        <f>max(B35:B37)</f>
        <v>0</v>
      </c>
      <c r="D35" s="105">
        <f>iferror(if('Medium Scenarios'!F36&gt;='Medium Scenarios'!H36,('Medium Scenarios'!F36-'Medium Scenarios'!H36)/('Medium Scenarios'!O36-'Medium Scenarios'!H36),0),0)</f>
        <v>0</v>
      </c>
    </row>
    <row r="36" ht="28.5" customHeight="1">
      <c r="A36" s="96" t="str">
        <f>'Medium Scenarios'!C37</f>
        <v>Floating Heads Timing 400% Larger</v>
      </c>
      <c r="B36" s="99">
        <f>iferror(match('Medium Scenarios'!F37, 'Medium Scenarios'!H37:O37),0)</f>
        <v>0</v>
      </c>
      <c r="D36" s="105">
        <f>iferror(if('Medium Scenarios'!F37&gt;='Medium Scenarios'!H37,('Medium Scenarios'!F37-'Medium Scenarios'!H37)/('Medium Scenarios'!O37-'Medium Scenarios'!H37),0),0)</f>
        <v>0</v>
      </c>
    </row>
    <row r="37" ht="28.5" customHeight="1">
      <c r="A37" s="96" t="str">
        <f>'Medium Scenarios'!C38</f>
        <v>voxTargetClick 20% Small</v>
      </c>
      <c r="B37" s="99">
        <f>iferror(match('Medium Scenarios'!F38, 'Medium Scenarios'!H38:O38),0)</f>
        <v>0</v>
      </c>
      <c r="D37" s="105">
        <f>iferror(if('Medium Scenarios'!F38&gt;='Medium Scenarios'!H38,('Medium Scenarios'!F38-'Medium Scenarios'!H38)/('Medium Scenarios'!O38-'Medium Scenarios'!H38),0),0)</f>
        <v>0</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4" max="4" width="20.38"/>
  </cols>
  <sheetData>
    <row r="1" ht="33.75" customHeight="1">
      <c r="A1" s="83" t="str">
        <f>iferror(concatenate(choose(C1, 'Hard Scenarios'!H2, 'Hard Scenarios'!I2, 'Hard Scenarios'!J2, 'Hard Scenarios'!K2, 'Hard Scenarios'!L2, 'Hard Scenarios'!M2),B1),"Unranked")</f>
        <v>Unranked</v>
      </c>
      <c r="B1" s="83" t="str">
        <f>if(min(B2:B37)=min(C2:C37)," Complete","")</f>
        <v> Complete</v>
      </c>
      <c r="C1" s="83">
        <f>MIN(C2:C37)</f>
        <v>0</v>
      </c>
      <c r="D1" s="93" t="s">
        <v>57</v>
      </c>
    </row>
    <row r="2" ht="25.5" customHeight="1">
      <c r="A2" s="96" t="str">
        <f>'Hard Scenarios'!C3</f>
        <v>WhisphereRawControl 30% Small</v>
      </c>
      <c r="B2" s="99">
        <f>iferror(match('Hard Scenarios'!F3, 'Hard Scenarios'!H3:N3),0)</f>
        <v>0</v>
      </c>
      <c r="C2" s="99">
        <f>max(B2:B4)</f>
        <v>0</v>
      </c>
      <c r="D2" s="105">
        <f>iferror(if('Hard Scenarios'!F3&gt;='Hard Scenarios'!H3,('Hard Scenarios'!F3-'Hard Scenarios'!H3)/('Hard Scenarios'!M3-'Hard Scenarios'!H3),0),0)</f>
        <v>0</v>
      </c>
    </row>
    <row r="3" ht="25.5" customHeight="1">
      <c r="A3" s="96" t="str">
        <f>'Hard Scenarios'!C4</f>
        <v>Whisphere Small &amp; Slow</v>
      </c>
      <c r="B3" s="99">
        <f>iferror(match('Hard Scenarios'!F4, 'Hard Scenarios'!H4:N4),0)</f>
        <v>0</v>
      </c>
      <c r="D3" s="105">
        <f>iferror(if('Hard Scenarios'!F4&gt;='Hard Scenarios'!H4,('Hard Scenarios'!F4-'Hard Scenarios'!H4)/('Hard Scenarios'!M4-'Hard Scenarios'!H4),0),0)</f>
        <v>0</v>
      </c>
    </row>
    <row r="4" ht="25.5" customHeight="1">
      <c r="A4" s="96" t="str">
        <f>'Hard Scenarios'!C5</f>
        <v>SmoothBot Invincible Goated Smaller</v>
      </c>
      <c r="B4" s="99">
        <f>iferror(match('Hard Scenarios'!F5, 'Hard Scenarios'!H5:N5),0)</f>
        <v>0</v>
      </c>
      <c r="D4" s="105">
        <f>iferror(if('Hard Scenarios'!F5&gt;='Hard Scenarios'!H5,('Hard Scenarios'!F5-'Hard Scenarios'!H5)/('Hard Scenarios'!M5-'Hard Scenarios'!H5),0),0)</f>
        <v>0</v>
      </c>
    </row>
    <row r="5" ht="25.5" customHeight="1">
      <c r="A5" s="96" t="str">
        <f>'Hard Scenarios'!C6</f>
        <v>Leaptrack Goated 80%</v>
      </c>
      <c r="B5" s="99">
        <f>iferror(match('Hard Scenarios'!F6, 'Hard Scenarios'!H6:N6),0)</f>
        <v>0</v>
      </c>
      <c r="C5" s="99">
        <f>max(B5:B7)</f>
        <v>0</v>
      </c>
      <c r="D5" s="105">
        <f>iferror(if('Hard Scenarios'!F6&gt;='Hard Scenarios'!H6,('Hard Scenarios'!F6-'Hard Scenarios'!H6)/('Hard Scenarios'!M6-'Hard Scenarios'!H6),0),0)</f>
        <v>0</v>
      </c>
    </row>
    <row r="6" ht="25.5" customHeight="1">
      <c r="A6" s="96" t="str">
        <f>'Hard Scenarios'!C7</f>
        <v>Controlsphere rAim</v>
      </c>
      <c r="B6" s="99">
        <f>iferror(match('Hard Scenarios'!F7, 'Hard Scenarios'!H7:N7),0)</f>
        <v>0</v>
      </c>
      <c r="D6" s="105">
        <f>iferror(if('Hard Scenarios'!F7&gt;='Hard Scenarios'!H7,('Hard Scenarios'!F7-'Hard Scenarios'!H7)/('Hard Scenarios'!M7-'Hard Scenarios'!H7),0),0)</f>
        <v>0</v>
      </c>
    </row>
    <row r="7" ht="25.5" customHeight="1">
      <c r="A7" s="96" t="str">
        <f>'Hard Scenarios'!C8</f>
        <v>VT Controlsphere Intermediate Hard</v>
      </c>
      <c r="B7" s="99">
        <f>iferror(match('Hard Scenarios'!F8, 'Hard Scenarios'!H8:N8),0)</f>
        <v>0</v>
      </c>
      <c r="D7" s="105">
        <f>iferror(if('Hard Scenarios'!F8&gt;='Hard Scenarios'!H8,('Hard Scenarios'!F8-'Hard Scenarios'!H8)/('Hard Scenarios'!M8-'Hard Scenarios'!H8),0),0)</f>
        <v>0</v>
      </c>
    </row>
    <row r="8" ht="25.5" customHeight="1">
      <c r="A8" s="96" t="str">
        <f>'Hard Scenarios'!C9</f>
        <v>Air Angelic 4 Voltaic</v>
      </c>
      <c r="B8" s="99">
        <f>iferror(match('Hard Scenarios'!F9, 'Hard Scenarios'!H9:N9),0)</f>
        <v>0</v>
      </c>
      <c r="C8" s="99">
        <f>max(B8:B10)</f>
        <v>0</v>
      </c>
      <c r="D8" s="105">
        <f>iferror(if('Hard Scenarios'!F9&gt;='Hard Scenarios'!H9,('Hard Scenarios'!F9-'Hard Scenarios'!H9)/('Hard Scenarios'!M9-'Hard Scenarios'!H9),0),0)</f>
        <v>0</v>
      </c>
    </row>
    <row r="9" ht="25.5" customHeight="1">
      <c r="A9" s="96" t="str">
        <f>'Hard Scenarios'!C10</f>
        <v>Cloverrawcontrol</v>
      </c>
      <c r="B9" s="99">
        <f>iferror(match('Hard Scenarios'!F10, 'Hard Scenarios'!H10:N10),0)</f>
        <v>0</v>
      </c>
      <c r="D9" s="105">
        <f>iferror(if('Hard Scenarios'!F10&gt;='Hard Scenarios'!H10,('Hard Scenarios'!F10-'Hard Scenarios'!H10)/('Hard Scenarios'!M10-'Hard Scenarios'!H10),0),0)</f>
        <v>0</v>
      </c>
    </row>
    <row r="10" ht="25.5" customHeight="1">
      <c r="A10" s="96" t="str">
        <f>'Hard Scenarios'!C11</f>
        <v>Controlsphere Far</v>
      </c>
      <c r="B10" s="99">
        <f>iferror(match('Hard Scenarios'!F11, 'Hard Scenarios'!H11:N11),0)</f>
        <v>0</v>
      </c>
      <c r="D10" s="105">
        <f>iferror(if('Hard Scenarios'!F11&gt;='Hard Scenarios'!H11,('Hard Scenarios'!F11-'Hard Scenarios'!H11)/('Hard Scenarios'!M11-'Hard Scenarios'!H11),0),0)</f>
        <v>0</v>
      </c>
    </row>
    <row r="11" ht="25.5" customHeight="1">
      <c r="A11" s="96" t="str">
        <f>'Hard Scenarios'!C12</f>
        <v>PGTI Voltaic</v>
      </c>
      <c r="B11" s="99">
        <f>iferror(match('Hard Scenarios'!F12, 'Hard Scenarios'!H12:N12),0)</f>
        <v>0</v>
      </c>
      <c r="C11" s="99">
        <f>max(B11:B13)</f>
        <v>0</v>
      </c>
      <c r="D11" s="105">
        <f>iferror(if('Hard Scenarios'!F12&gt;='Hard Scenarios'!H12,('Hard Scenarios'!F12-'Hard Scenarios'!H12)/('Hard Scenarios'!M12-'Hard Scenarios'!H12),0),0)</f>
        <v>0</v>
      </c>
    </row>
    <row r="12" ht="25.5" customHeight="1">
      <c r="A12" s="96" t="str">
        <f>'Hard Scenarios'!C13</f>
        <v>Air CELESTIAL</v>
      </c>
      <c r="B12" s="99">
        <f>iferror(match('Hard Scenarios'!F13, 'Hard Scenarios'!H13:N13),0)</f>
        <v>0</v>
      </c>
      <c r="D12" s="105">
        <f>iferror(if('Hard Scenarios'!F13&gt;='Hard Scenarios'!H13,('Hard Scenarios'!F13-'Hard Scenarios'!H13)/('Hard Scenarios'!M13-'Hard Scenarios'!H13),0),0)</f>
        <v>0</v>
      </c>
    </row>
    <row r="13" ht="25.5" customHeight="1">
      <c r="A13" s="96" t="str">
        <f>'Hard Scenarios'!C14</f>
        <v>Whisphere Extra Small &amp; Slow</v>
      </c>
      <c r="B13" s="99">
        <f>iferror(match('Hard Scenarios'!F14, 'Hard Scenarios'!H14:N14),0)</f>
        <v>0</v>
      </c>
      <c r="D13" s="105">
        <f>iferror(if('Hard Scenarios'!F14&gt;='Hard Scenarios'!H14,('Hard Scenarios'!F14-'Hard Scenarios'!H14)/('Hard Scenarios'!M14-'Hard Scenarios'!H14),0),0)</f>
        <v>0</v>
      </c>
    </row>
    <row r="14" ht="25.5" customHeight="1">
      <c r="A14" s="96" t="str">
        <f>'Hard Scenarios'!C15</f>
        <v>Ground Plaza Sparky v3 Thin</v>
      </c>
      <c r="B14" s="99">
        <f>iferror(match('Hard Scenarios'!F15, 'Hard Scenarios'!H15:N15),0)</f>
        <v>0</v>
      </c>
      <c r="C14" s="99">
        <f>max(B14:B15)</f>
        <v>0</v>
      </c>
      <c r="D14" s="105">
        <f>iferror(if('Hard Scenarios'!F15&gt;='Hard Scenarios'!H15,('Hard Scenarios'!F15-'Hard Scenarios'!H15)/('Hard Scenarios'!M15-'Hard Scenarios'!H15),0),0)</f>
        <v>0</v>
      </c>
    </row>
    <row r="15" ht="25.5" customHeight="1">
      <c r="A15" s="96" t="str">
        <f>'Hard Scenarios'!C16</f>
        <v>Controlsphere OW 150%</v>
      </c>
      <c r="B15" s="99">
        <f>iferror(match('Hard Scenarios'!F16, 'Hard Scenarios'!H16:N16),0)</f>
        <v>0</v>
      </c>
      <c r="D15" s="105">
        <f>iferror(if('Hard Scenarios'!F16&gt;='Hard Scenarios'!H16,('Hard Scenarios'!F16-'Hard Scenarios'!H16)/('Hard Scenarios'!M16-'Hard Scenarios'!H16),0),0)</f>
        <v>0</v>
      </c>
    </row>
    <row r="16" ht="25.5" customHeight="1">
      <c r="A16" s="96" t="str">
        <f>'Hard Scenarios'!C17</f>
        <v>Flicker Plaza</v>
      </c>
      <c r="B16" s="99">
        <f>iferror(match('Hard Scenarios'!F17, 'Hard Scenarios'!H17:N17),0)</f>
        <v>0</v>
      </c>
      <c r="C16" s="99">
        <f>max(B16:B17)</f>
        <v>0</v>
      </c>
      <c r="D16" s="105">
        <f>iferror(if('Hard Scenarios'!F17&gt;='Hard Scenarios'!H17,('Hard Scenarios'!F17-'Hard Scenarios'!H17)/('Hard Scenarios'!M17-'Hard Scenarios'!H17),0),0)</f>
        <v>0</v>
      </c>
    </row>
    <row r="17" ht="25.5" customHeight="1">
      <c r="A17" s="96" t="str">
        <f>'Hard Scenarios'!C18</f>
        <v>Polarized Hell 20% Slower</v>
      </c>
      <c r="B17" s="99">
        <f>iferror(match('Hard Scenarios'!F18, 'Hard Scenarios'!H18:N18),0)</f>
        <v>0</v>
      </c>
      <c r="D17" s="105">
        <f>iferror(if('Hard Scenarios'!F18&gt;='Hard Scenarios'!H18,('Hard Scenarios'!F18-'Hard Scenarios'!H18)/('Hard Scenarios'!M18-'Hard Scenarios'!H18),0),0)</f>
        <v>0</v>
      </c>
    </row>
    <row r="18" ht="25.5" customHeight="1">
      <c r="A18" s="96" t="str">
        <f>'Hard Scenarios'!C19</f>
        <v>Air Pure</v>
      </c>
      <c r="B18" s="99">
        <f>iferror(match('Hard Scenarios'!F19, 'Hard Scenarios'!H19:N19),0)</f>
        <v>0</v>
      </c>
      <c r="C18" s="99">
        <f>max(B18:B19)</f>
        <v>0</v>
      </c>
      <c r="D18" s="105">
        <f>iferror(if('Hard Scenarios'!F19&gt;='Hard Scenarios'!H19,('Hard Scenarios'!F19-'Hard Scenarios'!H19)/('Hard Scenarios'!M19-'Hard Scenarios'!H19),0),0)</f>
        <v>0</v>
      </c>
    </row>
    <row r="19" ht="25.5" customHeight="1">
      <c r="A19" s="96" t="str">
        <f>'Hard Scenarios'!C20</f>
        <v>Air Voltaic Invincible 4</v>
      </c>
      <c r="B19" s="99">
        <f>iferror(match('Hard Scenarios'!F20, 'Hard Scenarios'!H20:N20),0)</f>
        <v>0</v>
      </c>
      <c r="D19" s="105">
        <f>iferror(if('Hard Scenarios'!F20&gt;='Hard Scenarios'!H20,('Hard Scenarios'!F20-'Hard Scenarios'!H20)/('Hard Scenarios'!M20-'Hard Scenarios'!H20),0),0)</f>
        <v>0</v>
      </c>
    </row>
    <row r="20" ht="25.5" customHeight="1">
      <c r="A20" s="96" t="str">
        <f>'Hard Scenarios'!C21</f>
        <v>Pokeball Frenzy Auto TE Wide</v>
      </c>
      <c r="B20" s="99">
        <f>iferror(match('Hard Scenarios'!F21, 'Hard Scenarios'!H21:N21),0)</f>
        <v>0</v>
      </c>
      <c r="C20" s="99">
        <f>max(B20:B22)</f>
        <v>0</v>
      </c>
      <c r="D20" s="105">
        <f>iferror(if('Hard Scenarios'!F21&gt;='Hard Scenarios'!H21,('Hard Scenarios'!F21-'Hard Scenarios'!H21)/('Hard Scenarios'!M21-'Hard Scenarios'!H21),0),0)</f>
        <v>0</v>
      </c>
    </row>
    <row r="21" ht="25.5" customHeight="1">
      <c r="A21" s="96" t="str">
        <f>'Hard Scenarios'!C22</f>
        <v>1w2ts Reload</v>
      </c>
      <c r="B21" s="99">
        <f>iferror(match('Hard Scenarios'!F22, 'Hard Scenarios'!H22:N22),0)</f>
        <v>0</v>
      </c>
      <c r="D21" s="105">
        <f>iferror(if('Hard Scenarios'!F22&gt;='Hard Scenarios'!H22,('Hard Scenarios'!F22-'Hard Scenarios'!H22)/('Hard Scenarios'!M22-'Hard Scenarios'!H22),0),0)</f>
        <v>0</v>
      </c>
    </row>
    <row r="22" ht="25.5" customHeight="1">
      <c r="A22" s="96" t="str">
        <f>'Hard Scenarios'!C23</f>
        <v>voxTargetSwitch 2 20% Smaller</v>
      </c>
      <c r="B22" s="99">
        <f>iferror(match('Hard Scenarios'!F23, 'Hard Scenarios'!H23:N23),0)</f>
        <v>0</v>
      </c>
      <c r="D22" s="105">
        <f>iferror(if('Hard Scenarios'!F23&gt;='Hard Scenarios'!H23,('Hard Scenarios'!F23-'Hard Scenarios'!H23)/('Hard Scenarios'!M23-'Hard Scenarios'!H23),0),0)</f>
        <v>0</v>
      </c>
    </row>
    <row r="23" ht="25.5" customHeight="1">
      <c r="A23" s="96" t="str">
        <f>'Hard Scenarios'!C24</f>
        <v>BeanTS 30% Smaller</v>
      </c>
      <c r="B23" s="99">
        <f>iferror(match('Hard Scenarios'!F24, 'Hard Scenarios'!H24:N24),0)</f>
        <v>0</v>
      </c>
      <c r="C23" s="99">
        <f>max(B23:B24)</f>
        <v>0</v>
      </c>
      <c r="D23" s="105">
        <f>iferror(if('Hard Scenarios'!F24&gt;='Hard Scenarios'!H24,('Hard Scenarios'!F24-'Hard Scenarios'!H24)/('Hard Scenarios'!M24-'Hard Scenarios'!H24),0),0)</f>
        <v>0</v>
      </c>
    </row>
    <row r="24" ht="25.5" customHeight="1">
      <c r="A24" s="96" t="str">
        <f>'Hard Scenarios'!C25</f>
        <v>FloatTS Angelic</v>
      </c>
      <c r="B24" s="99">
        <f>iferror(match('Hard Scenarios'!F25, 'Hard Scenarios'!H25:N25),0)</f>
        <v>0</v>
      </c>
      <c r="D24" s="105">
        <f>iferror(if('Hard Scenarios'!F25&gt;='Hard Scenarios'!H25,('Hard Scenarios'!F25-'Hard Scenarios'!H25)/('Hard Scenarios'!M25-'Hard Scenarios'!H25),0),0)</f>
        <v>0</v>
      </c>
    </row>
    <row r="25" ht="25.5" customHeight="1">
      <c r="A25" s="96" t="str">
        <f>'Hard Scenarios'!C26</f>
        <v>WaldoTS</v>
      </c>
      <c r="B25" s="99">
        <f>iferror(match('Hard Scenarios'!F26, 'Hard Scenarios'!H26:N26),0)</f>
        <v>0</v>
      </c>
      <c r="C25" s="99">
        <f>max(B25:B26)</f>
        <v>0</v>
      </c>
      <c r="D25" s="105">
        <f>iferror(if('Hard Scenarios'!F26&gt;='Hard Scenarios'!H26,('Hard Scenarios'!F26-'Hard Scenarios'!H26)/('Hard Scenarios'!M26-'Hard Scenarios'!H26),0),0)</f>
        <v>0</v>
      </c>
    </row>
    <row r="26" ht="25.5" customHeight="1">
      <c r="A26" s="96" t="str">
        <f>'Hard Scenarios'!C27</f>
        <v>devTS Goated NR Static Small 5Bot</v>
      </c>
      <c r="B26" s="99">
        <f>iferror(match('Hard Scenarios'!F27, 'Hard Scenarios'!H27:N27),0)</f>
        <v>0</v>
      </c>
      <c r="D26" s="105">
        <f>iferror(if('Hard Scenarios'!F27&gt;='Hard Scenarios'!H27,('Hard Scenarios'!F27-'Hard Scenarios'!H27)/('Hard Scenarios'!M27-'Hard Scenarios'!H27),0),0)</f>
        <v>0</v>
      </c>
    </row>
    <row r="27" ht="25.5" customHeight="1">
      <c r="A27" s="96" t="str">
        <f>'Hard Scenarios'!C28</f>
        <v>domiSwitch</v>
      </c>
      <c r="B27" s="99">
        <f>iferror(match('Hard Scenarios'!F28, 'Hard Scenarios'!H28:N28),0)</f>
        <v>0</v>
      </c>
      <c r="C27" s="99">
        <f>max(B27:B28)</f>
        <v>0</v>
      </c>
      <c r="D27" s="105">
        <f>iferror(if('Hard Scenarios'!F28&gt;='Hard Scenarios'!H28,('Hard Scenarios'!F28-'Hard Scenarios'!H28)/('Hard Scenarios'!M28-'Hard Scenarios'!H28),0),0)</f>
        <v>0</v>
      </c>
    </row>
    <row r="28" ht="25.5" customHeight="1">
      <c r="A28" s="96" t="str">
        <f>'Hard Scenarios'!C29</f>
        <v>tamTargetSwitch Smooth</v>
      </c>
      <c r="B28" s="99">
        <f>iferror(match('Hard Scenarios'!F29, 'Hard Scenarios'!H29:N29),0)</f>
        <v>0</v>
      </c>
      <c r="D28" s="105">
        <f>iferror(if('Hard Scenarios'!F29&gt;='Hard Scenarios'!H29,('Hard Scenarios'!F29-'Hard Scenarios'!H29)/('Hard Scenarios'!M29-'Hard Scenarios'!H29),0),0)</f>
        <v>0</v>
      </c>
    </row>
    <row r="29" ht="25.5" customHeight="1">
      <c r="A29" s="96" t="str">
        <f>'Hard Scenarios'!C30</f>
        <v>Pasu Reload Goated</v>
      </c>
      <c r="B29" s="99">
        <f>iferror(match('Hard Scenarios'!F30, 'Hard Scenarios'!H30:N30),0)</f>
        <v>0</v>
      </c>
      <c r="C29" s="99">
        <f>max(B29:B31)</f>
        <v>0</v>
      </c>
      <c r="D29" s="105">
        <f>iferror(if('Hard Scenarios'!F30&gt;='Hard Scenarios'!H30,('Hard Scenarios'!F30-'Hard Scenarios'!H30)/('Hard Scenarios'!M30-'Hard Scenarios'!H30),0),0)</f>
        <v>0</v>
      </c>
    </row>
    <row r="30" ht="25.5" customHeight="1">
      <c r="A30" s="96" t="str">
        <f>'Hard Scenarios'!C31</f>
        <v>VT Bounceshot Advanced </v>
      </c>
      <c r="B30" s="99">
        <f>iferror(match('Hard Scenarios'!F31, 'Hard Scenarios'!H31:N31),0)</f>
        <v>0</v>
      </c>
      <c r="D30" s="105">
        <f>iferror(if('Hard Scenarios'!F31&gt;='Hard Scenarios'!H31,('Hard Scenarios'!F31-'Hard Scenarios'!H31)/('Hard Scenarios'!M31-'Hard Scenarios'!H31),0),0)</f>
        <v>0</v>
      </c>
    </row>
    <row r="31" ht="25.5" customHeight="1">
      <c r="A31" s="96" t="str">
        <f>'Hard Scenarios'!C32</f>
        <v>Controlsphere Click Smaller</v>
      </c>
      <c r="B31" s="99">
        <f>iferror(match('Hard Scenarios'!F32, 'Hard Scenarios'!H32:N32),0)</f>
        <v>0</v>
      </c>
      <c r="D31" s="105">
        <f>iferror(if('Hard Scenarios'!F32&gt;='Hard Scenarios'!H32,('Hard Scenarios'!F32-'Hard Scenarios'!H32)/('Hard Scenarios'!M32-'Hard Scenarios'!H32),0),0)</f>
        <v>0</v>
      </c>
    </row>
    <row r="32" ht="28.5" customHeight="1">
      <c r="A32" s="96" t="str">
        <f>'Hard Scenarios'!C33</f>
        <v>Popcorn MV Advanced</v>
      </c>
      <c r="B32" s="99">
        <f>iferror(match('Hard Scenarios'!F33, 'Hard Scenarios'!H33:N33),0)</f>
        <v>0</v>
      </c>
      <c r="C32" s="99">
        <f>max(B32:B34)</f>
        <v>0</v>
      </c>
      <c r="D32" s="105">
        <f>iferror(if('Hard Scenarios'!F33&gt;='Hard Scenarios'!H33,('Hard Scenarios'!F33-'Hard Scenarios'!H33)/('Hard Scenarios'!M33-'Hard Scenarios'!H33),0),0)</f>
        <v>0</v>
      </c>
    </row>
    <row r="33" ht="28.5" customHeight="1">
      <c r="A33" s="96" t="str">
        <f>'Hard Scenarios'!C34</f>
        <v>Pasu Angelic</v>
      </c>
      <c r="B33" s="99">
        <f>iferror(match('Hard Scenarios'!F34, 'Hard Scenarios'!H34:N34),0)</f>
        <v>0</v>
      </c>
      <c r="D33" s="105">
        <f>iferror(if('Hard Scenarios'!F34&gt;='Hard Scenarios'!H34,('Hard Scenarios'!F34-'Hard Scenarios'!H34)/('Hard Scenarios'!M34-'Hard Scenarios'!H34),0),0)</f>
        <v>0</v>
      </c>
    </row>
    <row r="34" ht="28.5" customHeight="1">
      <c r="A34" s="96" t="str">
        <f>'Hard Scenarios'!C35</f>
        <v>1w2ts Pasu Perfected 30% Smaller</v>
      </c>
      <c r="B34" s="99">
        <f>iferror(match('Hard Scenarios'!F35, 'Hard Scenarios'!H35:N35),0)</f>
        <v>0</v>
      </c>
      <c r="D34" s="105">
        <f>iferror(if('Hard Scenarios'!F35&gt;='Hard Scenarios'!H35,('Hard Scenarios'!F35-'Hard Scenarios'!H35)/('Hard Scenarios'!M35-'Hard Scenarios'!H35),0),0)</f>
        <v>0</v>
      </c>
    </row>
    <row r="35" ht="28.5" customHeight="1">
      <c r="A35" s="96" t="str">
        <f>'Hard Scenarios'!C36</f>
        <v>1w3ts Pasu Perfected Micro Goated</v>
      </c>
      <c r="B35" s="99">
        <f>iferror(match('Hard Scenarios'!F36, 'Hard Scenarios'!H36:N36),0)</f>
        <v>0</v>
      </c>
      <c r="C35" s="99">
        <f>max(B35:B37)</f>
        <v>0</v>
      </c>
      <c r="D35" s="105">
        <f>iferror(if('Hard Scenarios'!F36&gt;='Hard Scenarios'!H36,('Hard Scenarios'!F36-'Hard Scenarios'!H36)/('Hard Scenarios'!M36-'Hard Scenarios'!H36),0),0)</f>
        <v>0</v>
      </c>
    </row>
    <row r="36" ht="28.5" customHeight="1">
      <c r="A36" s="96" t="str">
        <f>'Hard Scenarios'!C37</f>
        <v>Floating Heads Timing 400% Fixed</v>
      </c>
      <c r="B36" s="99">
        <f>iferror(match('Hard Scenarios'!F37, 'Hard Scenarios'!H37:N37),0)</f>
        <v>0</v>
      </c>
      <c r="D36" s="105">
        <f>iferror(if('Hard Scenarios'!F37&gt;='Hard Scenarios'!H37,('Hard Scenarios'!F37-'Hard Scenarios'!H37)/('Hard Scenarios'!M37-'Hard Scenarios'!H37),0),0)</f>
        <v>0</v>
      </c>
    </row>
    <row r="37" ht="28.5" customHeight="1">
      <c r="A37" s="96" t="str">
        <f>'Hard Scenarios'!C38</f>
        <v>VoxTargetSwitch Click Small</v>
      </c>
      <c r="B37" s="99">
        <f>iferror(match('Hard Scenarios'!F38, 'Hard Scenarios'!H38:N38),0)</f>
        <v>0</v>
      </c>
      <c r="D37" s="105">
        <f>iferror(if('Hard Scenarios'!F38&gt;='Hard Scenarios'!H38,('Hard Scenarios'!F38-'Hard Scenarios'!H38)/('Hard Scenarios'!M38-'Hard Scenarios'!H38),0),0)</f>
        <v>0</v>
      </c>
    </row>
  </sheetData>
  <mergeCells count="14">
    <mergeCell ref="C20:C22"/>
    <mergeCell ref="C23:C24"/>
    <mergeCell ref="C25:C26"/>
    <mergeCell ref="C27:C28"/>
    <mergeCell ref="C29:C31"/>
    <mergeCell ref="C32:C34"/>
    <mergeCell ref="C35:C37"/>
    <mergeCell ref="C2:C4"/>
    <mergeCell ref="C5:C7"/>
    <mergeCell ref="C8:C10"/>
    <mergeCell ref="C11:C13"/>
    <mergeCell ref="C14:C15"/>
    <mergeCell ref="C16:C17"/>
    <mergeCell ref="C18:C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81.0"/>
  </cols>
  <sheetData>
    <row r="1" ht="35.25" customHeight="1">
      <c r="A1" s="186" t="s">
        <v>74</v>
      </c>
    </row>
    <row r="2" ht="21.75" customHeight="1">
      <c r="A2" s="187" t="s">
        <v>75</v>
      </c>
      <c r="B2" s="188" t="s">
        <v>76</v>
      </c>
    </row>
    <row r="3" ht="73.5" customHeight="1">
      <c r="A3" s="189" t="s">
        <v>77</v>
      </c>
      <c r="B3" s="190" t="s">
        <v>78</v>
      </c>
    </row>
    <row r="4" ht="16.5" customHeight="1">
      <c r="A4" s="189" t="s">
        <v>79</v>
      </c>
      <c r="B4" s="191" t="s">
        <v>80</v>
      </c>
    </row>
    <row r="5" ht="12.0" customHeight="1">
      <c r="B5" s="192" t="s">
        <v>81</v>
      </c>
    </row>
    <row r="6" ht="12.0" customHeight="1">
      <c r="B6" s="192" t="s">
        <v>82</v>
      </c>
    </row>
    <row r="7" ht="12.0" customHeight="1">
      <c r="B7" s="192" t="s">
        <v>83</v>
      </c>
    </row>
    <row r="8" ht="12.0" customHeight="1">
      <c r="B8" s="192" t="s">
        <v>84</v>
      </c>
    </row>
    <row r="9" ht="34.5" customHeight="1">
      <c r="A9" s="189" t="s">
        <v>85</v>
      </c>
      <c r="B9" s="193" t="s">
        <v>86</v>
      </c>
    </row>
    <row r="10" ht="117.75" customHeight="1">
      <c r="A10" s="189" t="s">
        <v>87</v>
      </c>
      <c r="B10" s="193" t="s">
        <v>88</v>
      </c>
    </row>
    <row r="11" ht="22.5" customHeight="1">
      <c r="A11" s="189" t="s">
        <v>89</v>
      </c>
      <c r="B11" s="193" t="s">
        <v>90</v>
      </c>
    </row>
    <row r="12" ht="22.5" customHeight="1">
      <c r="A12" s="189" t="s">
        <v>91</v>
      </c>
      <c r="B12" s="193" t="s">
        <v>92</v>
      </c>
    </row>
    <row r="13" ht="91.5" customHeight="1">
      <c r="A13" s="189" t="s">
        <v>93</v>
      </c>
      <c r="B13" s="193" t="s">
        <v>94</v>
      </c>
    </row>
    <row r="14" ht="35.25" customHeight="1">
      <c r="A14" s="189" t="s">
        <v>95</v>
      </c>
      <c r="B14" s="193" t="s">
        <v>96</v>
      </c>
    </row>
    <row r="15" ht="91.5" customHeight="1">
      <c r="A15" s="189" t="s">
        <v>97</v>
      </c>
      <c r="B15" s="193" t="s">
        <v>98</v>
      </c>
    </row>
    <row r="16" ht="31.5" customHeight="1">
      <c r="A16" s="194">
        <v>45817.0</v>
      </c>
      <c r="B16" s="193" t="s">
        <v>99</v>
      </c>
    </row>
    <row r="17" ht="31.5" customHeight="1">
      <c r="A17" s="194">
        <v>45878.0</v>
      </c>
      <c r="B17" s="193" t="s">
        <v>100</v>
      </c>
    </row>
  </sheetData>
  <mergeCells count="2">
    <mergeCell ref="A1:B1"/>
    <mergeCell ref="A4:A8"/>
  </mergeCells>
  <hyperlinks>
    <hyperlink r:id="rId1" ref="B5"/>
    <hyperlink r:id="rId2" ref="B6"/>
    <hyperlink r:id="rId3" ref="B7"/>
    <hyperlink r:id="rId4" ref="B8"/>
  </hyperlinks>
  <drawing r:id="rId5"/>
</worksheet>
</file>